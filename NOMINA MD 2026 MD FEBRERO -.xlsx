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sus Ruiz\Desktop\"/>
    </mc:Choice>
  </mc:AlternateContent>
  <xr:revisionPtr revIDLastSave="0" documentId="8_{39924D80-0563-4F17-9A9D-1FC1D441A59E}" xr6:coauthVersionLast="47" xr6:coauthVersionMax="47" xr10:uidLastSave="{00000000-0000-0000-0000-000000000000}"/>
  <bookViews>
    <workbookView xWindow="-120" yWindow="-120" windowWidth="29040" windowHeight="15840" tabRatio="573" activeTab="2" xr2:uid="{00000000-000D-0000-FFFF-FFFF00000000}"/>
  </bookViews>
  <sheets>
    <sheet name="NOMINA MAYO 2025 MD" sheetId="1" r:id="rId1"/>
    <sheet name="NOMINA JUNIO 2025 MD" sheetId="2" r:id="rId2"/>
    <sheet name="NOMINA FEBRERO 2026 MD" sheetId="5" r:id="rId3"/>
    <sheet name="Hoja1" sheetId="6" r:id="rId4"/>
    <sheet name="Hoja2" sheetId="7" r:id="rId5"/>
  </sheets>
  <definedNames>
    <definedName name="_xlnm.Print_Area" localSheetId="4">Hoja2!$A$2:$AC$43</definedName>
    <definedName name="_xlnm.Print_Area" localSheetId="2">'NOMINA FEBRERO 2026 MD'!$A$1:$AD$44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1" i="5" l="1"/>
  <c r="R35" i="5"/>
  <c r="R39" i="5"/>
  <c r="R42" i="5"/>
  <c r="R40" i="5"/>
  <c r="R28" i="5"/>
  <c r="R18" i="5"/>
  <c r="R16" i="5"/>
  <c r="R14" i="5"/>
  <c r="R10" i="5"/>
  <c r="R8" i="5"/>
  <c r="R9" i="5"/>
  <c r="R11" i="5"/>
  <c r="R19" i="5"/>
  <c r="R12" i="5"/>
  <c r="R13" i="5"/>
  <c r="R15" i="5"/>
  <c r="R17" i="5"/>
  <c r="R20" i="5"/>
  <c r="R21" i="5"/>
  <c r="R22" i="5"/>
  <c r="R23" i="5"/>
  <c r="R24" i="5"/>
  <c r="R25" i="5"/>
  <c r="R26" i="5"/>
  <c r="R27" i="5"/>
  <c r="R29" i="5"/>
  <c r="R30" i="5"/>
  <c r="R31" i="5"/>
  <c r="R32" i="5"/>
  <c r="R33" i="5"/>
  <c r="R34" i="5"/>
  <c r="R36" i="5"/>
  <c r="R37" i="5"/>
  <c r="R38" i="5"/>
  <c r="R43" i="5"/>
  <c r="AD44" i="5"/>
  <c r="U37" i="5"/>
  <c r="AC29" i="7"/>
  <c r="AD8" i="5"/>
  <c r="O41" i="7"/>
  <c r="L14" i="5"/>
  <c r="L12" i="7"/>
  <c r="W40" i="5"/>
  <c r="W43" i="5"/>
  <c r="W37" i="5"/>
  <c r="W36" i="5"/>
  <c r="W34" i="5"/>
  <c r="L39" i="5"/>
  <c r="L38" i="5"/>
  <c r="L41" i="5"/>
  <c r="L42" i="5"/>
  <c r="F42" i="5"/>
  <c r="G42" i="5"/>
  <c r="H42" i="5"/>
  <c r="R44" i="5" l="1"/>
  <c r="AD43" i="5"/>
  <c r="AC38" i="5"/>
  <c r="AC39" i="5"/>
  <c r="AC40" i="5"/>
  <c r="AC41" i="5"/>
  <c r="AC43" i="5"/>
  <c r="V37" i="5"/>
  <c r="V40" i="5"/>
  <c r="U40" i="5"/>
  <c r="AC42" i="5"/>
  <c r="U43" i="5"/>
  <c r="Q41" i="5"/>
  <c r="Q42" i="5"/>
  <c r="O42" i="5"/>
  <c r="P42" i="5" s="1"/>
  <c r="F41" i="5"/>
  <c r="G41" i="5" s="1"/>
  <c r="H41" i="5"/>
  <c r="Q40" i="5"/>
  <c r="O43" i="5"/>
  <c r="P43" i="5" s="1"/>
  <c r="S43" i="5" s="1"/>
  <c r="F40" i="5"/>
  <c r="H40" i="5"/>
  <c r="O12" i="7"/>
  <c r="AC35" i="7"/>
  <c r="Q35" i="7"/>
  <c r="Q34" i="7"/>
  <c r="P35" i="7"/>
  <c r="O35" i="7"/>
  <c r="N35" i="7"/>
  <c r="F35" i="7"/>
  <c r="Y35" i="7"/>
  <c r="R35" i="7"/>
  <c r="S35" i="7" s="1"/>
  <c r="H35" i="7"/>
  <c r="L41" i="7"/>
  <c r="Q41" i="7"/>
  <c r="Q42" i="7"/>
  <c r="Q40" i="7"/>
  <c r="R42" i="7"/>
  <c r="H42" i="7"/>
  <c r="G42" i="7"/>
  <c r="F42" i="7"/>
  <c r="L42" i="7" s="1"/>
  <c r="R41" i="7"/>
  <c r="H41" i="7"/>
  <c r="G41" i="7"/>
  <c r="F41" i="7"/>
  <c r="N36" i="7"/>
  <c r="K36" i="7"/>
  <c r="K8" i="7"/>
  <c r="K20" i="7"/>
  <c r="V9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6" i="7"/>
  <c r="V37" i="7"/>
  <c r="V38" i="7"/>
  <c r="V8" i="7"/>
  <c r="V8" i="5"/>
  <c r="U9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6" i="7"/>
  <c r="U37" i="7"/>
  <c r="U38" i="7"/>
  <c r="U8" i="7"/>
  <c r="U9" i="5"/>
  <c r="U8" i="5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6" i="7"/>
  <c r="R37" i="7"/>
  <c r="R38" i="7"/>
  <c r="R39" i="7"/>
  <c r="R40" i="7"/>
  <c r="R19" i="7"/>
  <c r="R18" i="7"/>
  <c r="R17" i="7"/>
  <c r="R16" i="7"/>
  <c r="R15" i="7"/>
  <c r="R14" i="7"/>
  <c r="R13" i="7"/>
  <c r="R12" i="7"/>
  <c r="R11" i="7"/>
  <c r="R9" i="7"/>
  <c r="R8" i="7"/>
  <c r="Q39" i="7"/>
  <c r="Q38" i="7"/>
  <c r="Q37" i="7"/>
  <c r="Q36" i="7"/>
  <c r="Q33" i="7"/>
  <c r="Q32" i="7"/>
  <c r="Q31" i="7"/>
  <c r="Q30" i="7"/>
  <c r="Q29" i="7"/>
  <c r="Q27" i="7"/>
  <c r="Q28" i="7" s="1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9" i="7"/>
  <c r="Q8" i="7"/>
  <c r="Q8" i="5"/>
  <c r="K9" i="7"/>
  <c r="K20" i="5"/>
  <c r="K28" i="7"/>
  <c r="K37" i="7"/>
  <c r="K34" i="7"/>
  <c r="K30" i="7"/>
  <c r="K24" i="7"/>
  <c r="K22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6" i="7"/>
  <c r="H37" i="7"/>
  <c r="H38" i="7"/>
  <c r="H39" i="7"/>
  <c r="H40" i="7"/>
  <c r="H8" i="7"/>
  <c r="H9" i="5"/>
  <c r="H8" i="5"/>
  <c r="F9" i="7"/>
  <c r="L9" i="7" s="1"/>
  <c r="F10" i="7"/>
  <c r="O10" i="7" s="1"/>
  <c r="P10" i="7" s="1"/>
  <c r="W10" i="7" s="1"/>
  <c r="F11" i="7"/>
  <c r="N11" i="7" s="1"/>
  <c r="F12" i="7"/>
  <c r="F13" i="7"/>
  <c r="F14" i="7"/>
  <c r="N14" i="7" s="1"/>
  <c r="O14" i="7" s="1"/>
  <c r="P14" i="7" s="1"/>
  <c r="F15" i="7"/>
  <c r="F16" i="7"/>
  <c r="F17" i="7"/>
  <c r="F18" i="7"/>
  <c r="N18" i="7" s="1"/>
  <c r="O18" i="7" s="1"/>
  <c r="P18" i="7" s="1"/>
  <c r="F19" i="7"/>
  <c r="F20" i="7"/>
  <c r="F21" i="7"/>
  <c r="F22" i="7"/>
  <c r="N22" i="7" s="1"/>
  <c r="F23" i="7"/>
  <c r="F24" i="7"/>
  <c r="N24" i="7" s="1"/>
  <c r="F25" i="7"/>
  <c r="F26" i="7"/>
  <c r="N26" i="7" s="1"/>
  <c r="F27" i="7"/>
  <c r="F28" i="7"/>
  <c r="G28" i="7" s="1"/>
  <c r="F29" i="7"/>
  <c r="F30" i="7"/>
  <c r="N30" i="7" s="1"/>
  <c r="F31" i="7"/>
  <c r="F32" i="7"/>
  <c r="N32" i="7" s="1"/>
  <c r="F33" i="7"/>
  <c r="F34" i="7"/>
  <c r="N34" i="7" s="1"/>
  <c r="F36" i="7"/>
  <c r="F37" i="7"/>
  <c r="L37" i="7" s="1"/>
  <c r="F38" i="7"/>
  <c r="O38" i="7" s="1"/>
  <c r="P38" i="7" s="1"/>
  <c r="F39" i="7"/>
  <c r="N39" i="7" s="1"/>
  <c r="F40" i="7"/>
  <c r="L40" i="7" s="1"/>
  <c r="F8" i="7"/>
  <c r="L8" i="7" s="1"/>
  <c r="W2" i="7"/>
  <c r="V2" i="7"/>
  <c r="U2" i="7"/>
  <c r="K37" i="5"/>
  <c r="K35" i="5"/>
  <c r="K31" i="5"/>
  <c r="K21" i="5"/>
  <c r="K13" i="5"/>
  <c r="K10" i="5"/>
  <c r="K16" i="5"/>
  <c r="AD42" i="5" l="1"/>
  <c r="O41" i="5"/>
  <c r="G40" i="5"/>
  <c r="O40" i="5"/>
  <c r="AB10" i="7"/>
  <c r="G35" i="7"/>
  <c r="G39" i="7"/>
  <c r="G34" i="7"/>
  <c r="G30" i="7"/>
  <c r="G26" i="7"/>
  <c r="G22" i="7"/>
  <c r="G18" i="7"/>
  <c r="G14" i="7"/>
  <c r="G10" i="7"/>
  <c r="N12" i="7"/>
  <c r="L24" i="7"/>
  <c r="AC10" i="7"/>
  <c r="L39" i="7"/>
  <c r="O36" i="7"/>
  <c r="P36" i="7" s="1"/>
  <c r="S36" i="7" s="1"/>
  <c r="G8" i="7"/>
  <c r="G37" i="7"/>
  <c r="G32" i="7"/>
  <c r="G24" i="7"/>
  <c r="G20" i="7"/>
  <c r="G16" i="7"/>
  <c r="G12" i="7"/>
  <c r="N16" i="7"/>
  <c r="O16" i="7" s="1"/>
  <c r="O26" i="7"/>
  <c r="L20" i="7"/>
  <c r="O20" i="7" s="1"/>
  <c r="P20" i="7" s="1"/>
  <c r="L34" i="7"/>
  <c r="O34" i="7" s="1"/>
  <c r="O8" i="7"/>
  <c r="O42" i="7"/>
  <c r="W38" i="7"/>
  <c r="AB38" i="7" s="1"/>
  <c r="AC38" i="7" s="1"/>
  <c r="S38" i="7"/>
  <c r="W36" i="7"/>
  <c r="AB36" i="7" s="1"/>
  <c r="AC36" i="7" s="1"/>
  <c r="W18" i="7"/>
  <c r="AB18" i="7" s="1"/>
  <c r="AC18" i="7" s="1"/>
  <c r="S18" i="7"/>
  <c r="W14" i="7"/>
  <c r="AB14" i="7" s="1"/>
  <c r="AC14" i="7" s="1"/>
  <c r="S14" i="7"/>
  <c r="L33" i="7"/>
  <c r="O33" i="7" s="1"/>
  <c r="O25" i="7"/>
  <c r="L23" i="7"/>
  <c r="L21" i="7"/>
  <c r="L19" i="7"/>
  <c r="O19" i="7"/>
  <c r="N19" i="7"/>
  <c r="O17" i="7"/>
  <c r="N17" i="7"/>
  <c r="O15" i="7"/>
  <c r="N15" i="7"/>
  <c r="O13" i="7"/>
  <c r="N13" i="7"/>
  <c r="N21" i="7"/>
  <c r="O21" i="7" s="1"/>
  <c r="N25" i="7"/>
  <c r="N29" i="7"/>
  <c r="O29" i="7" s="1"/>
  <c r="N33" i="7"/>
  <c r="N40" i="7"/>
  <c r="O40" i="7" s="1"/>
  <c r="L28" i="7"/>
  <c r="O28" i="7" s="1"/>
  <c r="N28" i="7"/>
  <c r="G40" i="7"/>
  <c r="G38" i="7"/>
  <c r="G36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N9" i="7"/>
  <c r="O9" i="7" s="1"/>
  <c r="N23" i="7"/>
  <c r="O23" i="7" s="1"/>
  <c r="N27" i="7"/>
  <c r="O27" i="7" s="1"/>
  <c r="N31" i="7"/>
  <c r="O31" i="7" s="1"/>
  <c r="N37" i="7"/>
  <c r="O37" i="7" s="1"/>
  <c r="O32" i="7"/>
  <c r="O24" i="7"/>
  <c r="O11" i="7"/>
  <c r="L22" i="7"/>
  <c r="O22" i="7" s="1"/>
  <c r="L30" i="7"/>
  <c r="O30" i="7" s="1"/>
  <c r="O39" i="7"/>
  <c r="S10" i="7"/>
  <c r="F28" i="5"/>
  <c r="Q38" i="5"/>
  <c r="Q39" i="5"/>
  <c r="O47" i="5"/>
  <c r="V19" i="5"/>
  <c r="P40" i="5" l="1"/>
  <c r="S40" i="5" s="1"/>
  <c r="AD40" i="5"/>
  <c r="P41" i="5"/>
  <c r="AD41" i="5"/>
  <c r="N28" i="5"/>
  <c r="L28" i="5"/>
  <c r="S20" i="7"/>
  <c r="AB20" i="7"/>
  <c r="AC20" i="7" s="1"/>
  <c r="P16" i="7"/>
  <c r="P12" i="7"/>
  <c r="P34" i="7"/>
  <c r="AC11" i="7"/>
  <c r="P26" i="7"/>
  <c r="P42" i="7"/>
  <c r="P41" i="7"/>
  <c r="P40" i="7"/>
  <c r="AB40" i="7" s="1"/>
  <c r="AC40" i="7" s="1"/>
  <c r="P31" i="7"/>
  <c r="W31" i="7" s="1"/>
  <c r="AB31" i="7" s="1"/>
  <c r="AC31" i="7" s="1"/>
  <c r="P33" i="7"/>
  <c r="P39" i="7"/>
  <c r="S39" i="7" s="1"/>
  <c r="P22" i="7"/>
  <c r="P24" i="7"/>
  <c r="S24" i="7" s="1"/>
  <c r="P32" i="7"/>
  <c r="S32" i="7" s="1"/>
  <c r="P27" i="7"/>
  <c r="S27" i="7" s="1"/>
  <c r="P9" i="7"/>
  <c r="P29" i="7"/>
  <c r="S29" i="7" s="1"/>
  <c r="P21" i="7"/>
  <c r="W21" i="7" s="1"/>
  <c r="AB21" i="7" s="1"/>
  <c r="AC21" i="7" s="1"/>
  <c r="P15" i="7"/>
  <c r="S15" i="7" s="1"/>
  <c r="P17" i="7"/>
  <c r="P19" i="7"/>
  <c r="S19" i="7" s="1"/>
  <c r="P25" i="7"/>
  <c r="P30" i="7"/>
  <c r="W30" i="7" s="1"/>
  <c r="AB30" i="7" s="1"/>
  <c r="AC30" i="7" s="1"/>
  <c r="P11" i="7"/>
  <c r="P28" i="7"/>
  <c r="W28" i="7" s="1"/>
  <c r="AB28" i="7" s="1"/>
  <c r="AC28" i="7" s="1"/>
  <c r="P37" i="7"/>
  <c r="P8" i="7"/>
  <c r="P23" i="7"/>
  <c r="S23" i="7" s="1"/>
  <c r="P13" i="7"/>
  <c r="S13" i="7" s="1"/>
  <c r="S31" i="7"/>
  <c r="W27" i="7"/>
  <c r="AB27" i="7" s="1"/>
  <c r="AC27" i="7" s="1"/>
  <c r="W9" i="7"/>
  <c r="AB9" i="7" s="1"/>
  <c r="AC9" i="7" s="1"/>
  <c r="S9" i="7"/>
  <c r="S30" i="7"/>
  <c r="W11" i="7"/>
  <c r="AB11" i="7" s="1"/>
  <c r="S11" i="7"/>
  <c r="S28" i="7"/>
  <c r="W37" i="7"/>
  <c r="AB37" i="7" s="1"/>
  <c r="AC37" i="7" s="1"/>
  <c r="S37" i="7"/>
  <c r="S40" i="7"/>
  <c r="W13" i="7"/>
  <c r="AB13" i="7" s="1"/>
  <c r="AC13" i="7" s="1"/>
  <c r="W15" i="7"/>
  <c r="AB15" i="7" s="1"/>
  <c r="AC15" i="7" s="1"/>
  <c r="W17" i="7"/>
  <c r="AB17" i="7" s="1"/>
  <c r="AC17" i="7" s="1"/>
  <c r="S17" i="7"/>
  <c r="W19" i="7"/>
  <c r="AB19" i="7" s="1"/>
  <c r="AC19" i="7" s="1"/>
  <c r="W25" i="7"/>
  <c r="AB25" i="7" s="1"/>
  <c r="AC25" i="7" s="1"/>
  <c r="S25" i="7"/>
  <c r="W33" i="7"/>
  <c r="AB33" i="7" s="1"/>
  <c r="AC33" i="7" s="1"/>
  <c r="S33" i="7"/>
  <c r="AB39" i="7"/>
  <c r="AC39" i="7" s="1"/>
  <c r="W22" i="7"/>
  <c r="AB22" i="7" s="1"/>
  <c r="AC22" i="7" s="1"/>
  <c r="S22" i="7"/>
  <c r="W24" i="7"/>
  <c r="AB24" i="7" s="1"/>
  <c r="AC24" i="7" s="1"/>
  <c r="W32" i="7"/>
  <c r="AB32" i="7" s="1"/>
  <c r="AC32" i="7" s="1"/>
  <c r="V9" i="5"/>
  <c r="V10" i="5"/>
  <c r="V11" i="5"/>
  <c r="V12" i="5"/>
  <c r="V13" i="5"/>
  <c r="V14" i="5"/>
  <c r="V15" i="5"/>
  <c r="V16" i="5"/>
  <c r="V17" i="5"/>
  <c r="V18" i="5"/>
  <c r="V20" i="5"/>
  <c r="V21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U10" i="5"/>
  <c r="U11" i="5"/>
  <c r="U12" i="5"/>
  <c r="U13" i="5"/>
  <c r="U14" i="5"/>
  <c r="U15" i="5"/>
  <c r="U16" i="5"/>
  <c r="U17" i="5"/>
  <c r="U18" i="5"/>
  <c r="U19" i="5"/>
  <c r="U20" i="5"/>
  <c r="U21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Y38" i="5"/>
  <c r="Q30" i="5"/>
  <c r="Q31" i="5"/>
  <c r="Q32" i="5"/>
  <c r="Q33" i="5"/>
  <c r="Q34" i="5"/>
  <c r="Q35" i="5"/>
  <c r="Q36" i="5"/>
  <c r="Q37" i="5"/>
  <c r="F38" i="5"/>
  <c r="H38" i="5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W29" i="7" l="1"/>
  <c r="AB29" i="7" s="1"/>
  <c r="W23" i="7"/>
  <c r="AB23" i="7" s="1"/>
  <c r="AC23" i="7" s="1"/>
  <c r="S8" i="7"/>
  <c r="W8" i="7"/>
  <c r="AB8" i="7" s="1"/>
  <c r="AC8" i="7" s="1"/>
  <c r="S34" i="7"/>
  <c r="AB34" i="7"/>
  <c r="AC34" i="7" s="1"/>
  <c r="S12" i="7"/>
  <c r="W12" i="7"/>
  <c r="AB12" i="7" s="1"/>
  <c r="AC12" i="7" s="1"/>
  <c r="S16" i="7"/>
  <c r="W16" i="7"/>
  <c r="AB16" i="7" s="1"/>
  <c r="AC16" i="7" s="1"/>
  <c r="W26" i="7"/>
  <c r="AB26" i="7" s="1"/>
  <c r="AC26" i="7" s="1"/>
  <c r="S26" i="7"/>
  <c r="AB42" i="7"/>
  <c r="AC42" i="7" s="1"/>
  <c r="S42" i="7"/>
  <c r="AB41" i="7"/>
  <c r="AC41" i="7" s="1"/>
  <c r="S41" i="7"/>
  <c r="S21" i="7"/>
  <c r="N38" i="5"/>
  <c r="G38" i="5"/>
  <c r="AC43" i="7" l="1"/>
  <c r="O38" i="5"/>
  <c r="P38" i="5" s="1"/>
  <c r="S38" i="5" s="1"/>
  <c r="Y37" i="5"/>
  <c r="Y39" i="5"/>
  <c r="T44" i="5"/>
  <c r="AD38" i="5" l="1"/>
  <c r="H37" i="5"/>
  <c r="F37" i="5"/>
  <c r="Q10" i="5"/>
  <c r="Q11" i="5"/>
  <c r="Q12" i="5"/>
  <c r="Q13" i="5"/>
  <c r="Q14" i="5"/>
  <c r="Q15" i="5"/>
  <c r="Q16" i="5"/>
  <c r="Q17" i="5"/>
  <c r="Q18" i="5"/>
  <c r="Q19" i="5"/>
  <c r="Q20" i="5"/>
  <c r="Q21" i="5"/>
  <c r="Q23" i="5"/>
  <c r="Q24" i="5"/>
  <c r="Q25" i="5"/>
  <c r="Q26" i="5"/>
  <c r="Q27" i="5"/>
  <c r="Q28" i="5"/>
  <c r="Q29" i="5"/>
  <c r="H39" i="5"/>
  <c r="F39" i="5"/>
  <c r="F11" i="5"/>
  <c r="V44" i="5"/>
  <c r="W2" i="5"/>
  <c r="V2" i="5"/>
  <c r="U2" i="5"/>
  <c r="F23" i="5"/>
  <c r="F18" i="5"/>
  <c r="L18" i="5" l="1"/>
  <c r="N18" i="5"/>
  <c r="N11" i="5"/>
  <c r="O11" i="5" s="1"/>
  <c r="L23" i="5"/>
  <c r="N23" i="5"/>
  <c r="N39" i="5"/>
  <c r="L37" i="5"/>
  <c r="N37" i="5"/>
  <c r="U44" i="5"/>
  <c r="G37" i="5"/>
  <c r="G39" i="5"/>
  <c r="K44" i="5"/>
  <c r="O39" i="5" l="1"/>
  <c r="O37" i="5"/>
  <c r="P37" i="5" s="1"/>
  <c r="E44" i="5"/>
  <c r="Y44" i="5" s="1"/>
  <c r="O18" i="5"/>
  <c r="H10" i="5"/>
  <c r="F9" i="5"/>
  <c r="N9" i="5" s="1"/>
  <c r="F10" i="5"/>
  <c r="O10" i="5" s="1"/>
  <c r="F12" i="5"/>
  <c r="N12" i="5" s="1"/>
  <c r="F13" i="5"/>
  <c r="F14" i="5"/>
  <c r="F15" i="5"/>
  <c r="N15" i="5" s="1"/>
  <c r="F16" i="5"/>
  <c r="F17" i="5"/>
  <c r="N17" i="5" s="1"/>
  <c r="F19" i="5"/>
  <c r="N19" i="5" s="1"/>
  <c r="F20" i="5"/>
  <c r="F21" i="5"/>
  <c r="F22" i="5"/>
  <c r="O23" i="5"/>
  <c r="F24" i="5"/>
  <c r="N24" i="5" s="1"/>
  <c r="F25" i="5"/>
  <c r="N25" i="5" s="1"/>
  <c r="F26" i="5"/>
  <c r="N26" i="5" s="1"/>
  <c r="F27" i="5"/>
  <c r="N27" i="5" s="1"/>
  <c r="F29" i="5"/>
  <c r="N29" i="5" s="1"/>
  <c r="F30" i="5"/>
  <c r="N30" i="5" s="1"/>
  <c r="F31" i="5"/>
  <c r="F32" i="5"/>
  <c r="F33" i="5"/>
  <c r="F34" i="5"/>
  <c r="N34" i="5" s="1"/>
  <c r="F35" i="5"/>
  <c r="N35" i="5" s="1"/>
  <c r="F36" i="5"/>
  <c r="F8" i="5"/>
  <c r="P39" i="5" l="1"/>
  <c r="S39" i="5" s="1"/>
  <c r="AD39" i="5"/>
  <c r="N8" i="5"/>
  <c r="O8" i="5" s="1"/>
  <c r="G8" i="5"/>
  <c r="L36" i="5"/>
  <c r="N36" i="5"/>
  <c r="L32" i="5"/>
  <c r="N32" i="5"/>
  <c r="L33" i="5"/>
  <c r="N33" i="5"/>
  <c r="L31" i="5"/>
  <c r="N31" i="5"/>
  <c r="L21" i="5"/>
  <c r="N21" i="5"/>
  <c r="N14" i="5"/>
  <c r="L20" i="5"/>
  <c r="N20" i="5"/>
  <c r="L13" i="5"/>
  <c r="N13" i="5"/>
  <c r="O29" i="5"/>
  <c r="O19" i="5"/>
  <c r="O16" i="5"/>
  <c r="G12" i="5"/>
  <c r="L30" i="5"/>
  <c r="O30" i="5" s="1"/>
  <c r="O22" i="5"/>
  <c r="O17" i="5"/>
  <c r="AC37" i="5"/>
  <c r="AD37" i="5" s="1"/>
  <c r="S37" i="5"/>
  <c r="O25" i="5"/>
  <c r="F44" i="5"/>
  <c r="N44" i="5" s="1"/>
  <c r="O24" i="5"/>
  <c r="O34" i="5"/>
  <c r="G10" i="5"/>
  <c r="AC34" i="5"/>
  <c r="AC36" i="5"/>
  <c r="G36" i="5"/>
  <c r="H36" i="5"/>
  <c r="Y36" i="5"/>
  <c r="T45" i="5"/>
  <c r="M44" i="5"/>
  <c r="Y35" i="5"/>
  <c r="H35" i="5"/>
  <c r="Y34" i="5"/>
  <c r="H34" i="5"/>
  <c r="Y33" i="5"/>
  <c r="H33" i="5"/>
  <c r="Y32" i="5"/>
  <c r="H32" i="5"/>
  <c r="Y31" i="5"/>
  <c r="H31" i="5"/>
  <c r="Y30" i="5"/>
  <c r="H30" i="5"/>
  <c r="Y29" i="5"/>
  <c r="H29" i="5"/>
  <c r="Y28" i="5"/>
  <c r="H28" i="5"/>
  <c r="Y27" i="5"/>
  <c r="H27" i="5"/>
  <c r="Y26" i="5"/>
  <c r="H26" i="5"/>
  <c r="Y25" i="5"/>
  <c r="H25" i="5"/>
  <c r="Y24" i="5"/>
  <c r="H24" i="5"/>
  <c r="Y23" i="5"/>
  <c r="H23" i="5"/>
  <c r="Y22" i="5"/>
  <c r="H22" i="5"/>
  <c r="Y21" i="5"/>
  <c r="H21" i="5"/>
  <c r="Y20" i="5"/>
  <c r="H20" i="5"/>
  <c r="Y19" i="5"/>
  <c r="H19" i="5"/>
  <c r="Y18" i="5"/>
  <c r="H18" i="5"/>
  <c r="Y17" i="5"/>
  <c r="H17" i="5"/>
  <c r="Y16" i="5"/>
  <c r="H16" i="5"/>
  <c r="Y15" i="5"/>
  <c r="H15" i="5"/>
  <c r="G15" i="5"/>
  <c r="Y14" i="5"/>
  <c r="H14" i="5"/>
  <c r="Y13" i="5"/>
  <c r="H13" i="5"/>
  <c r="G13" i="5"/>
  <c r="Y12" i="5"/>
  <c r="H12" i="5"/>
  <c r="Y11" i="5"/>
  <c r="H11" i="5"/>
  <c r="G11" i="5"/>
  <c r="Y10" i="5"/>
  <c r="Y9" i="5"/>
  <c r="Q9" i="5"/>
  <c r="Q44" i="5" s="1"/>
  <c r="Q45" i="5" s="1"/>
  <c r="G9" i="5"/>
  <c r="Y8" i="5"/>
  <c r="O36" i="5" l="1"/>
  <c r="P36" i="5" s="1"/>
  <c r="S36" i="5" s="1"/>
  <c r="O13" i="5"/>
  <c r="O32" i="5"/>
  <c r="O15" i="5"/>
  <c r="P15" i="5" s="1"/>
  <c r="W15" i="5" s="1"/>
  <c r="O20" i="5"/>
  <c r="P20" i="5" s="1"/>
  <c r="W20" i="5" s="1"/>
  <c r="O26" i="5"/>
  <c r="O28" i="5"/>
  <c r="O9" i="5"/>
  <c r="P9" i="5" s="1"/>
  <c r="W9" i="5" s="1"/>
  <c r="AC9" i="5" s="1"/>
  <c r="O12" i="5"/>
  <c r="O14" i="5"/>
  <c r="O21" i="5"/>
  <c r="O27" i="5"/>
  <c r="P27" i="5" s="1"/>
  <c r="W27" i="5" s="1"/>
  <c r="O31" i="5"/>
  <c r="P31" i="5" s="1"/>
  <c r="W31" i="5" s="1"/>
  <c r="O33" i="5"/>
  <c r="O35" i="5"/>
  <c r="AD34" i="5"/>
  <c r="H44" i="5"/>
  <c r="AD36" i="5"/>
  <c r="P10" i="5"/>
  <c r="W10" i="5" s="1"/>
  <c r="G17" i="5"/>
  <c r="P17" i="5"/>
  <c r="W17" i="5" s="1"/>
  <c r="G19" i="5"/>
  <c r="P19" i="5"/>
  <c r="W19" i="5" s="1"/>
  <c r="G20" i="5"/>
  <c r="G22" i="5"/>
  <c r="G24" i="5"/>
  <c r="P24" i="5"/>
  <c r="W24" i="5" s="1"/>
  <c r="G27" i="5"/>
  <c r="G29" i="5"/>
  <c r="P29" i="5"/>
  <c r="W29" i="5" s="1"/>
  <c r="G31" i="5"/>
  <c r="G32" i="5"/>
  <c r="P11" i="5"/>
  <c r="W11" i="5" s="1"/>
  <c r="P13" i="5"/>
  <c r="W13" i="5" s="1"/>
  <c r="G33" i="5"/>
  <c r="G35" i="5"/>
  <c r="G14" i="5"/>
  <c r="G16" i="5"/>
  <c r="G18" i="5"/>
  <c r="G21" i="5"/>
  <c r="P22" i="5"/>
  <c r="W22" i="5" s="1"/>
  <c r="G23" i="5"/>
  <c r="G25" i="5"/>
  <c r="G26" i="5"/>
  <c r="G28" i="5"/>
  <c r="G30" i="5"/>
  <c r="P32" i="5"/>
  <c r="G34" i="5"/>
  <c r="AC10" i="5" l="1"/>
  <c r="AD10" i="5" s="1"/>
  <c r="P8" i="5"/>
  <c r="W32" i="5"/>
  <c r="AC32" i="5" s="1"/>
  <c r="AD32" i="5" s="1"/>
  <c r="S32" i="5"/>
  <c r="O44" i="5"/>
  <c r="G44" i="5"/>
  <c r="P30" i="5"/>
  <c r="W30" i="5" s="1"/>
  <c r="P28" i="5"/>
  <c r="W28" i="5" s="1"/>
  <c r="P26" i="5"/>
  <c r="W26" i="5" s="1"/>
  <c r="P25" i="5"/>
  <c r="W25" i="5" s="1"/>
  <c r="P23" i="5"/>
  <c r="W23" i="5" s="1"/>
  <c r="P21" i="5"/>
  <c r="W21" i="5" s="1"/>
  <c r="P35" i="5"/>
  <c r="P33" i="5"/>
  <c r="P16" i="5"/>
  <c r="W16" i="5" s="1"/>
  <c r="P12" i="5"/>
  <c r="W12" i="5" s="1"/>
  <c r="AC19" i="5"/>
  <c r="AD19" i="5" s="1"/>
  <c r="S19" i="5"/>
  <c r="S17" i="5"/>
  <c r="AC17" i="5"/>
  <c r="AD17" i="5" s="1"/>
  <c r="S13" i="5"/>
  <c r="S9" i="5"/>
  <c r="AD9" i="5"/>
  <c r="P34" i="5"/>
  <c r="S34" i="5" s="1"/>
  <c r="S31" i="5"/>
  <c r="AC31" i="5"/>
  <c r="AD31" i="5" s="1"/>
  <c r="S29" i="5"/>
  <c r="AC29" i="5"/>
  <c r="AD29" i="5" s="1"/>
  <c r="S27" i="5"/>
  <c r="AC27" i="5"/>
  <c r="AD27" i="5" s="1"/>
  <c r="S24" i="5"/>
  <c r="AC24" i="5"/>
  <c r="AD24" i="5" s="1"/>
  <c r="S22" i="5"/>
  <c r="AC22" i="5"/>
  <c r="AD22" i="5" s="1"/>
  <c r="S20" i="5"/>
  <c r="AC20" i="5"/>
  <c r="AD20" i="5" s="1"/>
  <c r="P18" i="5"/>
  <c r="W18" i="5" s="1"/>
  <c r="P14" i="5"/>
  <c r="W14" i="5" s="1"/>
  <c r="S15" i="5"/>
  <c r="AC15" i="5"/>
  <c r="AD15" i="5" s="1"/>
  <c r="S11" i="5"/>
  <c r="W8" i="5" l="1"/>
  <c r="AC8" i="5" s="1"/>
  <c r="S8" i="5"/>
  <c r="W35" i="5"/>
  <c r="AC35" i="5" s="1"/>
  <c r="AD35" i="5" s="1"/>
  <c r="S35" i="5"/>
  <c r="P44" i="5"/>
  <c r="W33" i="5"/>
  <c r="AC33" i="5" s="1"/>
  <c r="AD33" i="5" s="1"/>
  <c r="S33" i="5"/>
  <c r="AC11" i="5"/>
  <c r="AD11" i="5" s="1"/>
  <c r="AC13" i="5"/>
  <c r="AD13" i="5" s="1"/>
  <c r="S10" i="5"/>
  <c r="AC14" i="5"/>
  <c r="AD14" i="5" s="1"/>
  <c r="S14" i="5"/>
  <c r="AC18" i="5"/>
  <c r="AD18" i="5" s="1"/>
  <c r="S18" i="5"/>
  <c r="AC12" i="5"/>
  <c r="AD12" i="5" s="1"/>
  <c r="S12" i="5"/>
  <c r="AC16" i="5"/>
  <c r="AD16" i="5" s="1"/>
  <c r="S16" i="5"/>
  <c r="AC21" i="5"/>
  <c r="AD21" i="5" s="1"/>
  <c r="S21" i="5"/>
  <c r="AC23" i="5"/>
  <c r="AD23" i="5" s="1"/>
  <c r="S23" i="5"/>
  <c r="AC25" i="5"/>
  <c r="AD25" i="5" s="1"/>
  <c r="S25" i="5"/>
  <c r="AC26" i="5"/>
  <c r="AD26" i="5" s="1"/>
  <c r="S26" i="5"/>
  <c r="AC28" i="5"/>
  <c r="AD28" i="5" s="1"/>
  <c r="S28" i="5"/>
  <c r="AC30" i="5"/>
  <c r="AD30" i="5" s="1"/>
  <c r="S30" i="5"/>
  <c r="W44" i="5" l="1"/>
  <c r="S44" i="5"/>
  <c r="AC44" i="5"/>
  <c r="F36" i="2" l="1"/>
  <c r="G36" i="2" s="1"/>
  <c r="H36" i="2"/>
  <c r="L36" i="2"/>
  <c r="S36" i="2"/>
  <c r="T36" i="2"/>
  <c r="U36" i="2"/>
  <c r="AB36" i="2" s="1"/>
  <c r="AC36" i="2" s="1"/>
  <c r="V36" i="2"/>
  <c r="X36" i="2"/>
  <c r="F37" i="2"/>
  <c r="G37" i="2" s="1"/>
  <c r="H37" i="2"/>
  <c r="S37" i="2"/>
  <c r="T37" i="2"/>
  <c r="U37" i="2"/>
  <c r="V37" i="2"/>
  <c r="X37" i="2"/>
  <c r="F38" i="2"/>
  <c r="G38" i="2" s="1"/>
  <c r="H38" i="2"/>
  <c r="S38" i="2"/>
  <c r="T38" i="2"/>
  <c r="U38" i="2"/>
  <c r="V38" i="2"/>
  <c r="X3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U8" i="2"/>
  <c r="T8" i="2"/>
  <c r="AB37" i="2" l="1"/>
  <c r="AC37" i="2" s="1"/>
  <c r="AB38" i="2"/>
  <c r="AC38" i="2" s="1"/>
  <c r="L37" i="2"/>
  <c r="U8" i="1" l="1"/>
  <c r="T8" i="1"/>
  <c r="R39" i="2" l="1"/>
  <c r="Q39" i="2"/>
  <c r="P39" i="2"/>
  <c r="N39" i="2"/>
  <c r="M39" i="2"/>
  <c r="E39" i="2"/>
  <c r="X39" i="2" s="1"/>
  <c r="X35" i="2"/>
  <c r="V35" i="2"/>
  <c r="AB35" i="2" s="1"/>
  <c r="S35" i="2"/>
  <c r="H35" i="2"/>
  <c r="F35" i="2"/>
  <c r="X34" i="2"/>
  <c r="V34" i="2"/>
  <c r="S34" i="2"/>
  <c r="H34" i="2"/>
  <c r="F34" i="2"/>
  <c r="X33" i="2"/>
  <c r="V33" i="2"/>
  <c r="S33" i="2"/>
  <c r="H33" i="2"/>
  <c r="F33" i="2"/>
  <c r="X32" i="2"/>
  <c r="V32" i="2"/>
  <c r="S32" i="2"/>
  <c r="H32" i="2"/>
  <c r="F32" i="2"/>
  <c r="X31" i="2"/>
  <c r="V31" i="2"/>
  <c r="S31" i="2"/>
  <c r="H31" i="2"/>
  <c r="F31" i="2"/>
  <c r="X30" i="2"/>
  <c r="V30" i="2"/>
  <c r="S30" i="2"/>
  <c r="H30" i="2"/>
  <c r="F30" i="2"/>
  <c r="X29" i="2"/>
  <c r="V29" i="2"/>
  <c r="S29" i="2"/>
  <c r="H29" i="2"/>
  <c r="F29" i="2"/>
  <c r="X28" i="2"/>
  <c r="V28" i="2"/>
  <c r="S28" i="2"/>
  <c r="H28" i="2"/>
  <c r="F28" i="2"/>
  <c r="X27" i="2"/>
  <c r="V27" i="2"/>
  <c r="S27" i="2"/>
  <c r="H27" i="2"/>
  <c r="F27" i="2"/>
  <c r="X26" i="2"/>
  <c r="V26" i="2"/>
  <c r="S26" i="2"/>
  <c r="H26" i="2"/>
  <c r="F26" i="2"/>
  <c r="X25" i="2"/>
  <c r="V25" i="2"/>
  <c r="S25" i="2"/>
  <c r="H25" i="2"/>
  <c r="F25" i="2"/>
  <c r="X24" i="2"/>
  <c r="V24" i="2"/>
  <c r="S24" i="2"/>
  <c r="H24" i="2"/>
  <c r="F24" i="2"/>
  <c r="X23" i="2"/>
  <c r="V23" i="2"/>
  <c r="S23" i="2"/>
  <c r="H23" i="2"/>
  <c r="F23" i="2"/>
  <c r="X22" i="2"/>
  <c r="V22" i="2"/>
  <c r="S22" i="2"/>
  <c r="H22" i="2"/>
  <c r="F22" i="2"/>
  <c r="X21" i="2"/>
  <c r="V21" i="2"/>
  <c r="S21" i="2"/>
  <c r="H21" i="2"/>
  <c r="F21" i="2"/>
  <c r="X20" i="2"/>
  <c r="V20" i="2"/>
  <c r="S20" i="2"/>
  <c r="H20" i="2"/>
  <c r="F20" i="2"/>
  <c r="X19" i="2"/>
  <c r="V19" i="2"/>
  <c r="S19" i="2"/>
  <c r="H19" i="2"/>
  <c r="F19" i="2"/>
  <c r="X18" i="2"/>
  <c r="V18" i="2"/>
  <c r="S18" i="2"/>
  <c r="H18" i="2"/>
  <c r="F18" i="2"/>
  <c r="X17" i="2"/>
  <c r="V17" i="2"/>
  <c r="S17" i="2"/>
  <c r="H17" i="2"/>
  <c r="F17" i="2"/>
  <c r="X16" i="2"/>
  <c r="V16" i="2"/>
  <c r="S16" i="2"/>
  <c r="H16" i="2"/>
  <c r="F16" i="2"/>
  <c r="X15" i="2"/>
  <c r="V15" i="2"/>
  <c r="S15" i="2"/>
  <c r="H15" i="2"/>
  <c r="F15" i="2"/>
  <c r="X14" i="2"/>
  <c r="V14" i="2"/>
  <c r="S14" i="2"/>
  <c r="H14" i="2"/>
  <c r="F14" i="2"/>
  <c r="X13" i="2"/>
  <c r="V13" i="2"/>
  <c r="S13" i="2"/>
  <c r="H13" i="2"/>
  <c r="F13" i="2"/>
  <c r="X12" i="2"/>
  <c r="V12" i="2"/>
  <c r="S12" i="2"/>
  <c r="H12" i="2"/>
  <c r="F12" i="2"/>
  <c r="X11" i="2"/>
  <c r="V11" i="2"/>
  <c r="S11" i="2"/>
  <c r="H11" i="2"/>
  <c r="F11" i="2"/>
  <c r="O11" i="2" s="1"/>
  <c r="X10" i="2"/>
  <c r="V10" i="2"/>
  <c r="S10" i="2"/>
  <c r="H10" i="2"/>
  <c r="F10" i="2"/>
  <c r="O10" i="2" s="1"/>
  <c r="X9" i="2"/>
  <c r="V9" i="2"/>
  <c r="S9" i="2"/>
  <c r="H9" i="2"/>
  <c r="F9" i="2"/>
  <c r="O9" i="2" s="1"/>
  <c r="X8" i="2"/>
  <c r="V8" i="2"/>
  <c r="U39" i="2"/>
  <c r="S8" i="2"/>
  <c r="H8" i="2"/>
  <c r="F8" i="2"/>
  <c r="U2" i="2"/>
  <c r="T2" i="2"/>
  <c r="F39" i="2" l="1"/>
  <c r="S39" i="2"/>
  <c r="S40" i="2" s="1"/>
  <c r="AB8" i="2"/>
  <c r="G10" i="2"/>
  <c r="L10" i="2"/>
  <c r="AB10" i="2"/>
  <c r="AC10" i="2" s="1"/>
  <c r="AB12" i="2"/>
  <c r="AB14" i="2"/>
  <c r="AB22" i="2"/>
  <c r="AB24" i="2"/>
  <c r="AB26" i="2"/>
  <c r="AB28" i="2"/>
  <c r="AB30" i="2"/>
  <c r="V39" i="2"/>
  <c r="AB32" i="2"/>
  <c r="AB13" i="2"/>
  <c r="AB15" i="2"/>
  <c r="AB17" i="2"/>
  <c r="AB19" i="2"/>
  <c r="AB21" i="2"/>
  <c r="G8" i="2"/>
  <c r="L8" i="2"/>
  <c r="H39" i="2"/>
  <c r="T39" i="2"/>
  <c r="AB16" i="2"/>
  <c r="AB18" i="2"/>
  <c r="AB20" i="2"/>
  <c r="AB34" i="2"/>
  <c r="G9" i="2"/>
  <c r="L9" i="2"/>
  <c r="AB9" i="2"/>
  <c r="AC9" i="2" s="1"/>
  <c r="G11" i="2"/>
  <c r="L11" i="2"/>
  <c r="AB11" i="2"/>
  <c r="AC11" i="2" s="1"/>
  <c r="AB23" i="2"/>
  <c r="AB25" i="2"/>
  <c r="AB27" i="2"/>
  <c r="AB29" i="2"/>
  <c r="AB31" i="2"/>
  <c r="AB33" i="2"/>
  <c r="L14" i="2"/>
  <c r="G14" i="2"/>
  <c r="O14" i="2"/>
  <c r="L17" i="2"/>
  <c r="G17" i="2"/>
  <c r="O17" i="2"/>
  <c r="L19" i="2"/>
  <c r="G19" i="2"/>
  <c r="O19" i="2"/>
  <c r="L21" i="2"/>
  <c r="G21" i="2"/>
  <c r="O21" i="2"/>
  <c r="L23" i="2"/>
  <c r="G23" i="2"/>
  <c r="O23" i="2"/>
  <c r="L25" i="2"/>
  <c r="G25" i="2"/>
  <c r="O25" i="2"/>
  <c r="L27" i="2"/>
  <c r="G27" i="2"/>
  <c r="O27" i="2"/>
  <c r="L29" i="2"/>
  <c r="G29" i="2"/>
  <c r="O29" i="2"/>
  <c r="L31" i="2"/>
  <c r="G31" i="2"/>
  <c r="O31" i="2"/>
  <c r="L33" i="2"/>
  <c r="G33" i="2"/>
  <c r="O33" i="2"/>
  <c r="L35" i="2"/>
  <c r="G35" i="2"/>
  <c r="O35" i="2"/>
  <c r="AC35" i="2" s="1"/>
  <c r="L12" i="2"/>
  <c r="G12" i="2"/>
  <c r="O12" i="2"/>
  <c r="L13" i="2"/>
  <c r="G13" i="2"/>
  <c r="O13" i="2"/>
  <c r="L15" i="2"/>
  <c r="G15" i="2"/>
  <c r="O15" i="2"/>
  <c r="L16" i="2"/>
  <c r="G16" i="2"/>
  <c r="O16" i="2"/>
  <c r="AC16" i="2" s="1"/>
  <c r="L18" i="2"/>
  <c r="G18" i="2"/>
  <c r="O18" i="2"/>
  <c r="AC18" i="2" s="1"/>
  <c r="L20" i="2"/>
  <c r="G20" i="2"/>
  <c r="O20" i="2"/>
  <c r="AC20" i="2" s="1"/>
  <c r="L22" i="2"/>
  <c r="G22" i="2"/>
  <c r="O22" i="2"/>
  <c r="L24" i="2"/>
  <c r="G24" i="2"/>
  <c r="O24" i="2"/>
  <c r="L26" i="2"/>
  <c r="G26" i="2"/>
  <c r="O26" i="2"/>
  <c r="L28" i="2"/>
  <c r="G28" i="2"/>
  <c r="O28" i="2"/>
  <c r="L30" i="2"/>
  <c r="G30" i="2"/>
  <c r="O30" i="2"/>
  <c r="L32" i="2"/>
  <c r="G32" i="2"/>
  <c r="O32" i="2"/>
  <c r="AC32" i="2" s="1"/>
  <c r="L34" i="2"/>
  <c r="G34" i="2"/>
  <c r="O34" i="2"/>
  <c r="AC34" i="2" s="1"/>
  <c r="Q40" i="1"/>
  <c r="P40" i="1"/>
  <c r="N40" i="1"/>
  <c r="M40" i="1"/>
  <c r="E40" i="1"/>
  <c r="X40" i="1" s="1"/>
  <c r="V38" i="1"/>
  <c r="X37" i="1"/>
  <c r="V37" i="1"/>
  <c r="U37" i="1"/>
  <c r="S37" i="1"/>
  <c r="L37" i="1"/>
  <c r="H37" i="1"/>
  <c r="G37" i="1"/>
  <c r="F37" i="1"/>
  <c r="O37" i="1" s="1"/>
  <c r="X36" i="1"/>
  <c r="V36" i="1"/>
  <c r="U36" i="1"/>
  <c r="S36" i="1"/>
  <c r="H36" i="1"/>
  <c r="F36" i="1"/>
  <c r="L36" i="1" s="1"/>
  <c r="X35" i="1"/>
  <c r="V35" i="1"/>
  <c r="U35" i="1"/>
  <c r="S35" i="1"/>
  <c r="L35" i="1"/>
  <c r="H35" i="1"/>
  <c r="G35" i="1"/>
  <c r="F35" i="1"/>
  <c r="O35" i="1" s="1"/>
  <c r="X34" i="1"/>
  <c r="V34" i="1"/>
  <c r="U34" i="1"/>
  <c r="S34" i="1"/>
  <c r="H34" i="1"/>
  <c r="F34" i="1"/>
  <c r="L34" i="1" s="1"/>
  <c r="X33" i="1"/>
  <c r="V33" i="1"/>
  <c r="U33" i="1"/>
  <c r="S33" i="1"/>
  <c r="H33" i="1"/>
  <c r="F33" i="1"/>
  <c r="O33" i="1" s="1"/>
  <c r="X32" i="1"/>
  <c r="V32" i="1"/>
  <c r="U32" i="1"/>
  <c r="S32" i="1"/>
  <c r="H32" i="1"/>
  <c r="F32" i="1"/>
  <c r="L32" i="1" s="1"/>
  <c r="X31" i="1"/>
  <c r="V31" i="1"/>
  <c r="U31" i="1"/>
  <c r="S31" i="1"/>
  <c r="H31" i="1"/>
  <c r="F31" i="1"/>
  <c r="O31" i="1" s="1"/>
  <c r="X30" i="1"/>
  <c r="V30" i="1"/>
  <c r="U30" i="1"/>
  <c r="S30" i="1"/>
  <c r="H30" i="1"/>
  <c r="F30" i="1"/>
  <c r="L30" i="1" s="1"/>
  <c r="X29" i="1"/>
  <c r="V29" i="1"/>
  <c r="U29" i="1"/>
  <c r="S29" i="1"/>
  <c r="H29" i="1"/>
  <c r="F29" i="1"/>
  <c r="O29" i="1" s="1"/>
  <c r="X28" i="1"/>
  <c r="V28" i="1"/>
  <c r="U28" i="1"/>
  <c r="S28" i="1"/>
  <c r="H28" i="1"/>
  <c r="F28" i="1"/>
  <c r="L28" i="1" s="1"/>
  <c r="X27" i="1"/>
  <c r="V27" i="1"/>
  <c r="U27" i="1"/>
  <c r="S27" i="1"/>
  <c r="H27" i="1"/>
  <c r="F27" i="1"/>
  <c r="O27" i="1" s="1"/>
  <c r="X26" i="1"/>
  <c r="V26" i="1"/>
  <c r="U26" i="1"/>
  <c r="S26" i="1"/>
  <c r="H26" i="1"/>
  <c r="F26" i="1"/>
  <c r="L26" i="1" s="1"/>
  <c r="X25" i="1"/>
  <c r="V25" i="1"/>
  <c r="U25" i="1"/>
  <c r="S25" i="1"/>
  <c r="H25" i="1"/>
  <c r="F25" i="1"/>
  <c r="O25" i="1" s="1"/>
  <c r="X24" i="1"/>
  <c r="V24" i="1"/>
  <c r="U24" i="1"/>
  <c r="S24" i="1"/>
  <c r="H24" i="1"/>
  <c r="F24" i="1"/>
  <c r="L24" i="1" s="1"/>
  <c r="X23" i="1"/>
  <c r="V23" i="1"/>
  <c r="U23" i="1"/>
  <c r="S23" i="1"/>
  <c r="H23" i="1"/>
  <c r="F23" i="1"/>
  <c r="O23" i="1" s="1"/>
  <c r="X22" i="1"/>
  <c r="V22" i="1"/>
  <c r="U22" i="1"/>
  <c r="S22" i="1"/>
  <c r="H22" i="1"/>
  <c r="F22" i="1"/>
  <c r="L22" i="1" s="1"/>
  <c r="X21" i="1"/>
  <c r="V21" i="1"/>
  <c r="U21" i="1"/>
  <c r="S21" i="1"/>
  <c r="H21" i="1"/>
  <c r="F21" i="1"/>
  <c r="O21" i="1" s="1"/>
  <c r="X20" i="1"/>
  <c r="V20" i="1"/>
  <c r="U20" i="1"/>
  <c r="S20" i="1"/>
  <c r="H20" i="1"/>
  <c r="F20" i="1"/>
  <c r="L20" i="1" s="1"/>
  <c r="X19" i="1"/>
  <c r="V19" i="1"/>
  <c r="U19" i="1"/>
  <c r="S19" i="1"/>
  <c r="H19" i="1"/>
  <c r="F19" i="1"/>
  <c r="O19" i="1" s="1"/>
  <c r="X18" i="1"/>
  <c r="V18" i="1"/>
  <c r="U18" i="1"/>
  <c r="S18" i="1"/>
  <c r="H18" i="1"/>
  <c r="F18" i="1"/>
  <c r="L18" i="1" s="1"/>
  <c r="X17" i="1"/>
  <c r="V17" i="1"/>
  <c r="U17" i="1"/>
  <c r="S17" i="1"/>
  <c r="H17" i="1"/>
  <c r="F17" i="1"/>
  <c r="O17" i="1" s="1"/>
  <c r="X16" i="1"/>
  <c r="V16" i="1"/>
  <c r="U16" i="1"/>
  <c r="S16" i="1"/>
  <c r="H16" i="1"/>
  <c r="F16" i="1"/>
  <c r="L16" i="1" s="1"/>
  <c r="X15" i="1"/>
  <c r="V15" i="1"/>
  <c r="U15" i="1"/>
  <c r="S15" i="1"/>
  <c r="H15" i="1"/>
  <c r="F15" i="1"/>
  <c r="O15" i="1" s="1"/>
  <c r="X14" i="1"/>
  <c r="V14" i="1"/>
  <c r="U14" i="1"/>
  <c r="S14" i="1"/>
  <c r="H14" i="1"/>
  <c r="F14" i="1"/>
  <c r="X13" i="1"/>
  <c r="V13" i="1"/>
  <c r="U13" i="1"/>
  <c r="S13" i="1"/>
  <c r="H13" i="1"/>
  <c r="F13" i="1"/>
  <c r="O13" i="1" s="1"/>
  <c r="X12" i="1"/>
  <c r="V12" i="1"/>
  <c r="U12" i="1"/>
  <c r="S12" i="1"/>
  <c r="H12" i="1"/>
  <c r="F12" i="1"/>
  <c r="X11" i="1"/>
  <c r="V11" i="1"/>
  <c r="U11" i="1"/>
  <c r="S11" i="1"/>
  <c r="H11" i="1"/>
  <c r="F11" i="1"/>
  <c r="O11" i="1" s="1"/>
  <c r="X10" i="1"/>
  <c r="V10" i="1"/>
  <c r="U10" i="1"/>
  <c r="S10" i="1"/>
  <c r="H10" i="1"/>
  <c r="F10" i="1"/>
  <c r="L10" i="1" s="1"/>
  <c r="X9" i="1"/>
  <c r="V9" i="1"/>
  <c r="U9" i="1"/>
  <c r="R40" i="1"/>
  <c r="H9" i="1"/>
  <c r="F9" i="1"/>
  <c r="O9" i="1" s="1"/>
  <c r="X8" i="1"/>
  <c r="V8" i="1"/>
  <c r="T40" i="1"/>
  <c r="S8" i="1"/>
  <c r="H8" i="1"/>
  <c r="H40" i="1" s="1"/>
  <c r="F8" i="1"/>
  <c r="U2" i="1"/>
  <c r="T2" i="1"/>
  <c r="U40" i="1" l="1"/>
  <c r="L11" i="1"/>
  <c r="L15" i="1"/>
  <c r="L19" i="1"/>
  <c r="L23" i="1"/>
  <c r="L27" i="1"/>
  <c r="L33" i="1"/>
  <c r="L9" i="1"/>
  <c r="L13" i="1"/>
  <c r="L17" i="1"/>
  <c r="L21" i="1"/>
  <c r="L25" i="1"/>
  <c r="L29" i="1"/>
  <c r="G31" i="1"/>
  <c r="L31" i="1"/>
  <c r="AB10" i="1"/>
  <c r="AB16" i="1"/>
  <c r="AB18" i="1"/>
  <c r="AB20" i="1"/>
  <c r="AB22" i="1"/>
  <c r="AB24" i="1"/>
  <c r="AB26" i="1"/>
  <c r="AB28" i="1"/>
  <c r="AB30" i="1"/>
  <c r="AB32" i="1"/>
  <c r="AB34" i="1"/>
  <c r="AB36" i="1"/>
  <c r="F40" i="1"/>
  <c r="G9" i="1"/>
  <c r="AB9" i="1"/>
  <c r="G11" i="1"/>
  <c r="AB11" i="1"/>
  <c r="AC11" i="1" s="1"/>
  <c r="G13" i="1"/>
  <c r="AB13" i="1"/>
  <c r="AC13" i="1" s="1"/>
  <c r="G15" i="1"/>
  <c r="AB15" i="1"/>
  <c r="AC15" i="1" s="1"/>
  <c r="G17" i="1"/>
  <c r="AB17" i="1"/>
  <c r="AC17" i="1" s="1"/>
  <c r="G19" i="1"/>
  <c r="AB19" i="1"/>
  <c r="AC19" i="1" s="1"/>
  <c r="G21" i="1"/>
  <c r="AB21" i="1"/>
  <c r="AC21" i="1" s="1"/>
  <c r="G23" i="1"/>
  <c r="AB23" i="1"/>
  <c r="AC23" i="1" s="1"/>
  <c r="G25" i="1"/>
  <c r="AB25" i="1"/>
  <c r="AC25" i="1" s="1"/>
  <c r="G27" i="1"/>
  <c r="AB27" i="1"/>
  <c r="AC27" i="1" s="1"/>
  <c r="G29" i="1"/>
  <c r="AB29" i="1"/>
  <c r="AC29" i="1" s="1"/>
  <c r="AB31" i="1"/>
  <c r="AC31" i="1" s="1"/>
  <c r="G33" i="1"/>
  <c r="AB33" i="1"/>
  <c r="AC33" i="1" s="1"/>
  <c r="AB35" i="1"/>
  <c r="AC35" i="1" s="1"/>
  <c r="AB37" i="1"/>
  <c r="AC30" i="2"/>
  <c r="AC26" i="2"/>
  <c r="AC22" i="2"/>
  <c r="AC15" i="2"/>
  <c r="AC12" i="2"/>
  <c r="AC14" i="2"/>
  <c r="AC28" i="2"/>
  <c r="AC24" i="2"/>
  <c r="AC13" i="2"/>
  <c r="AC33" i="2"/>
  <c r="AC29" i="2"/>
  <c r="AC25" i="2"/>
  <c r="AC21" i="2"/>
  <c r="AC17" i="2"/>
  <c r="AC19" i="2"/>
  <c r="AC31" i="2"/>
  <c r="AC27" i="2"/>
  <c r="AC23" i="2"/>
  <c r="AB39" i="2"/>
  <c r="G39" i="2"/>
  <c r="O39" i="2"/>
  <c r="AC8" i="2"/>
  <c r="V40" i="1"/>
  <c r="AC37" i="1"/>
  <c r="AC9" i="1"/>
  <c r="G8" i="1"/>
  <c r="L8" i="1"/>
  <c r="O10" i="1"/>
  <c r="L12" i="1"/>
  <c r="G12" i="1"/>
  <c r="O12" i="1"/>
  <c r="L14" i="1"/>
  <c r="G14" i="1"/>
  <c r="O14" i="1"/>
  <c r="O8" i="1"/>
  <c r="AB8" i="1"/>
  <c r="S9" i="1"/>
  <c r="S40" i="1" s="1"/>
  <c r="S41" i="1" s="1"/>
  <c r="G10" i="1"/>
  <c r="AB12" i="1"/>
  <c r="AB14" i="1"/>
  <c r="O16" i="1"/>
  <c r="O18" i="1"/>
  <c r="O20" i="1"/>
  <c r="AC20" i="1" s="1"/>
  <c r="O22" i="1"/>
  <c r="O24" i="1"/>
  <c r="O26" i="1"/>
  <c r="O28" i="1"/>
  <c r="AC28" i="1" s="1"/>
  <c r="O30" i="1"/>
  <c r="O32" i="1"/>
  <c r="O34" i="1"/>
  <c r="O36" i="1"/>
  <c r="G16" i="1"/>
  <c r="G18" i="1"/>
  <c r="G20" i="1"/>
  <c r="G22" i="1"/>
  <c r="G24" i="1"/>
  <c r="G26" i="1"/>
  <c r="G28" i="1"/>
  <c r="G30" i="1"/>
  <c r="G32" i="1"/>
  <c r="G34" i="1"/>
  <c r="G36" i="1"/>
  <c r="AC30" i="1" l="1"/>
  <c r="AC26" i="1"/>
  <c r="AC22" i="1"/>
  <c r="AC18" i="1"/>
  <c r="AC10" i="1"/>
  <c r="AC36" i="1"/>
  <c r="AC34" i="1"/>
  <c r="AC32" i="1"/>
  <c r="AC24" i="1"/>
  <c r="AC16" i="1"/>
  <c r="AC39" i="2"/>
  <c r="AC41" i="2" s="1"/>
  <c r="O40" i="1"/>
  <c r="AC8" i="1"/>
  <c r="AC14" i="1"/>
  <c r="AC12" i="1"/>
  <c r="G40" i="1"/>
  <c r="AB40" i="1"/>
  <c r="AC40" i="1" l="1"/>
  <c r="AC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Lorenzo Martinez</author>
  </authors>
  <commentList>
    <comment ref="T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5
 salarios mínimos es lo máximo a retener por SSO spf articulo 192 reglamento del ivss
</t>
        </r>
      </text>
    </comment>
    <comment ref="T5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Nro.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Nro.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6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Se calcula en base al 4% del sueldo semanal (= Sueldo mensual multiplicado por 12 meses y dividido entre 52 semanas) por la cantidad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6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Se calcula en base al 0,5% del salario semanal (= Sueldo mensual multiplicado por 12 meses y dividido entre 52 semanas) por la cantidad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6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Se calcula en base al total de ingresos percibidos en el mes por el 1% a cualquier monto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Lorenzo Martinez</author>
  </authors>
  <commentList>
    <comment ref="T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5
 salarios mínimos es lo máximo a retener por SSO spf articulo 192 reglamento del ivss
</t>
        </r>
      </text>
    </comment>
    <comment ref="T5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Nro.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5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Nro.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6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Se calcula en base al 4% del sueldo semanal (= Sueldo mensual multiplicado por 12 meses y dividido entre 52 semanas) por la cantidad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6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Se calcula en base al 0,5% del salario semanal (= Sueldo mensual multiplicado por 12 meses y dividido entre 52 semanas) por la cantidad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6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Se calcula en base al total de ingresos percibidos en el mes por el 1% a cualquier monto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Lorenzo Martinez</author>
  </authors>
  <commentList>
    <comment ref="U2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 xml:space="preserve">5
 salarios mínimos es lo máximo a retener por SSO spf articulo 192 reglamento del ivss
</t>
        </r>
      </text>
    </comment>
    <comment ref="U5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Nro.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5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Nro.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6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Se calcula en base al 4% del sueldo semanal (= Sueldo mensual multiplicado por 12 meses y dividido entre 52 semanas) por la cantidad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6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Se calcula en base al 0,5% del salario semanal (= Sueldo mensual multiplicado por 12 meses y dividido entre 52 semanas) por la cantidad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W6" authorId="0" shapeId="0" xr:uid="{00000000-0006-0000-0400-000006000000}">
      <text>
        <r>
          <rPr>
            <b/>
            <sz val="8"/>
            <color indexed="81"/>
            <rFont val="Tahoma"/>
            <family val="2"/>
          </rPr>
          <t>Se calcula en base al total de ingresos percibidos en el mes por el 1% a cualquier monto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Lorenzo Martinez</author>
  </authors>
  <commentList>
    <comment ref="U2" authorId="0" shapeId="0" xr:uid="{911C6B32-DE97-468B-9C52-7ED53A74DCBE}">
      <text>
        <r>
          <rPr>
            <b/>
            <sz val="8"/>
            <color indexed="81"/>
            <rFont val="Tahoma"/>
            <family val="2"/>
          </rPr>
          <t xml:space="preserve">5
 salarios mínimos es lo máximo a retener por SSO spf articulo 192 reglamento del ivss
</t>
        </r>
      </text>
    </comment>
    <comment ref="U5" authorId="0" shapeId="0" xr:uid="{003EB00C-08AE-4438-8588-E26A834597A1}">
      <text>
        <r>
          <rPr>
            <b/>
            <sz val="8"/>
            <color indexed="81"/>
            <rFont val="Tahoma"/>
            <family val="2"/>
          </rPr>
          <t>Nro.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5" authorId="0" shapeId="0" xr:uid="{2D38EB3E-76AE-49E9-B6D4-26F43DC9DE32}">
      <text>
        <r>
          <rPr>
            <b/>
            <sz val="8"/>
            <color indexed="81"/>
            <rFont val="Tahoma"/>
            <family val="2"/>
          </rPr>
          <t>Nro.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6" authorId="0" shapeId="0" xr:uid="{F83A6CDF-C906-43C8-ABBE-2DCED8BEC607}">
      <text>
        <r>
          <rPr>
            <b/>
            <sz val="8"/>
            <color indexed="81"/>
            <rFont val="Tahoma"/>
            <family val="2"/>
          </rPr>
          <t>Se calcula en base al 4% del sueldo semanal (= Sueldo mensual multiplicado por 12 meses y dividido entre 52 semanas) por la cantidad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6" authorId="0" shapeId="0" xr:uid="{D87A90CF-84E8-4688-BFC7-AB59C0378F54}">
      <text>
        <r>
          <rPr>
            <b/>
            <sz val="8"/>
            <color indexed="81"/>
            <rFont val="Tahoma"/>
            <family val="2"/>
          </rPr>
          <t>Se calcula en base al 0,5% del salario semanal (= Sueldo mensual multiplicado por 12 meses y dividido entre 52 semanas) por la cantidad de lunes en el mes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W6" authorId="0" shapeId="0" xr:uid="{E1A0F6FC-3075-4554-8840-8A6C9C3867EE}">
      <text>
        <r>
          <rPr>
            <b/>
            <sz val="8"/>
            <color indexed="81"/>
            <rFont val="Tahoma"/>
            <family val="2"/>
          </rPr>
          <t>Se calcula en base al total de ingresos percibidos en el mes por el 1% a cualquier monto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<sst xmlns="http://schemas.openxmlformats.org/spreadsheetml/2006/main" count="589" uniqueCount="200">
  <si>
    <t>NOMINA MENSUAL MES DE MAYO 2025</t>
  </si>
  <si>
    <t>Montar TXT</t>
  </si>
  <si>
    <t>NOMINA EMPLEADOS</t>
  </si>
  <si>
    <t>TASA BCV 30/5/2025</t>
  </si>
  <si>
    <t>NOMBRE</t>
  </si>
  <si>
    <t>CEDULA</t>
  </si>
  <si>
    <t>CARGO</t>
  </si>
  <si>
    <t>SUELDO MENSUAL</t>
  </si>
  <si>
    <t>JORNADA</t>
  </si>
  <si>
    <t xml:space="preserve">SALARIO </t>
  </si>
  <si>
    <t>FECHA DE INGRESO</t>
  </si>
  <si>
    <t>DIAS  TRABAJADOS</t>
  </si>
  <si>
    <t>HORAS NOCTURNAS</t>
  </si>
  <si>
    <t>DOMINGO TRABAJADO</t>
  </si>
  <si>
    <t xml:space="preserve">BONO </t>
  </si>
  <si>
    <t xml:space="preserve">DIA FERIADO </t>
  </si>
  <si>
    <t xml:space="preserve">SUELDO </t>
  </si>
  <si>
    <t>SUBTOTAL INGRESOS</t>
  </si>
  <si>
    <t>CESTATIKET 2</t>
  </si>
  <si>
    <t>CESTATIKET 1</t>
  </si>
  <si>
    <t>INGRESO TOTAL INDEXADO</t>
  </si>
  <si>
    <t>RET. SSO 4%</t>
  </si>
  <si>
    <t>RET. PF 0,5%</t>
  </si>
  <si>
    <t>RET. FAOV 1%</t>
  </si>
  <si>
    <t>% RETENCION</t>
  </si>
  <si>
    <t>RETENCION</t>
  </si>
  <si>
    <t xml:space="preserve">ADELANTO </t>
  </si>
  <si>
    <t>INASISTENCIA</t>
  </si>
  <si>
    <t>SUBSIDIO</t>
  </si>
  <si>
    <t>TOTAL DEDUCCIONES</t>
  </si>
  <si>
    <t xml:space="preserve">TOTAL </t>
  </si>
  <si>
    <t>DIARIO</t>
  </si>
  <si>
    <t>POR HORA</t>
  </si>
  <si>
    <t>SEMANAL</t>
  </si>
  <si>
    <t>AL MES</t>
  </si>
  <si>
    <t>NOCTURNO</t>
  </si>
  <si>
    <t>TRABAJADO</t>
  </si>
  <si>
    <t>ISLR</t>
  </si>
  <si>
    <t>A PAGAR:</t>
  </si>
  <si>
    <t>JEHILYN PIÑERO</t>
  </si>
  <si>
    <t>V-24.057.091</t>
  </si>
  <si>
    <t>FACTURACION</t>
  </si>
  <si>
    <t>JOSE PORRRAS</t>
  </si>
  <si>
    <t>V-18.271.119</t>
  </si>
  <si>
    <t>SERV.GENERAL</t>
  </si>
  <si>
    <t>WILLIAM DIAZ</t>
  </si>
  <si>
    <t>V-10.527.962</t>
  </si>
  <si>
    <t>SEGURIAD</t>
  </si>
  <si>
    <t>LUIS CAMACHO</t>
  </si>
  <si>
    <t>V-18.493.027</t>
  </si>
  <si>
    <t>ALMACENISTA</t>
  </si>
  <si>
    <t>JAIRO URBINA</t>
  </si>
  <si>
    <t>V-14.387.285</t>
  </si>
  <si>
    <t>PASILLERO</t>
  </si>
  <si>
    <t>LUIS MONTILLA</t>
  </si>
  <si>
    <t>V-30.730.479</t>
  </si>
  <si>
    <t>CAJERO</t>
  </si>
  <si>
    <t xml:space="preserve">ISABELLA GONZALEZ </t>
  </si>
  <si>
    <t>V-30.934.104</t>
  </si>
  <si>
    <t>VENEDORA</t>
  </si>
  <si>
    <t>MARIELA GONZALEZ</t>
  </si>
  <si>
    <t>V-8.750.781</t>
  </si>
  <si>
    <t>MANTENIMIENTO</t>
  </si>
  <si>
    <t>LESBISAY HERNANDEZ</t>
  </si>
  <si>
    <t>V-9493.572</t>
  </si>
  <si>
    <t>ASISTENTE</t>
  </si>
  <si>
    <t>JHON AULAR</t>
  </si>
  <si>
    <t>V-26.528.624</t>
  </si>
  <si>
    <t>GUSTAIRIT SALAZAR</t>
  </si>
  <si>
    <t>V-19.885.976</t>
  </si>
  <si>
    <t>CAJERA</t>
  </si>
  <si>
    <t>LUIS MONSALVE</t>
  </si>
  <si>
    <t>V-24.884.054</t>
  </si>
  <si>
    <t>REDES</t>
  </si>
  <si>
    <t>KARINA QUIÑONEZ</t>
  </si>
  <si>
    <t>V-17.560.684</t>
  </si>
  <si>
    <t>ANYINEY CASAÑAS</t>
  </si>
  <si>
    <t>V-12.917.271</t>
  </si>
  <si>
    <t>SUPERVISORA</t>
  </si>
  <si>
    <t>LURDEYNYS BRAZON</t>
  </si>
  <si>
    <t>V-22.751.358</t>
  </si>
  <si>
    <t>YELITZA MARIN</t>
  </si>
  <si>
    <t>V-10.093.764</t>
  </si>
  <si>
    <t>JESCI GONZALEZ</t>
  </si>
  <si>
    <t>V-26.393.651</t>
  </si>
  <si>
    <t>ALEXANDER ARAUJO</t>
  </si>
  <si>
    <t>V-24.409.847</t>
  </si>
  <si>
    <t>BARBARA URBINA</t>
  </si>
  <si>
    <t>V-21.538.584</t>
  </si>
  <si>
    <t>VENDEDORA</t>
  </si>
  <si>
    <t>CARLOS BASTARDO</t>
  </si>
  <si>
    <t>V-30.520.031</t>
  </si>
  <si>
    <t>MARIA YESENIA LA CRUZ</t>
  </si>
  <si>
    <t>V-18.223.506</t>
  </si>
  <si>
    <t>ROLDAN VELASQUEZ</t>
  </si>
  <si>
    <t>V-17.408.665</t>
  </si>
  <si>
    <t>LEONARDO CARABALLO</t>
  </si>
  <si>
    <t>V-5.004.960</t>
  </si>
  <si>
    <t>MANTENIMIENO</t>
  </si>
  <si>
    <t>ILIANIS RANGEL</t>
  </si>
  <si>
    <t>V-20.630.214</t>
  </si>
  <si>
    <t>PASILLERA</t>
  </si>
  <si>
    <t>DEYSI CARDENAS</t>
  </si>
  <si>
    <t>V-19.226.442</t>
  </si>
  <si>
    <t>DEYKER ESCALONA</t>
  </si>
  <si>
    <t>V-27.615.539</t>
  </si>
  <si>
    <t>CHARCUTERO</t>
  </si>
  <si>
    <t>JANETH MEDINA</t>
  </si>
  <si>
    <t>V-17.876.280</t>
  </si>
  <si>
    <t>MARCO TOVAR</t>
  </si>
  <si>
    <t>V-25.626.951</t>
  </si>
  <si>
    <t>BELMARY HERNANDEZ</t>
  </si>
  <si>
    <t>V-19.227.967</t>
  </si>
  <si>
    <t>KARINA BARRIOS</t>
  </si>
  <si>
    <t>V-26.299.779</t>
  </si>
  <si>
    <t>INVENTARIO</t>
  </si>
  <si>
    <t>OBSERVACIONES</t>
  </si>
  <si>
    <t>9%</t>
  </si>
  <si>
    <t>DPP</t>
  </si>
  <si>
    <t>NOMINA MENSUAL MES DE JUNIO 2025</t>
  </si>
  <si>
    <t>JOSMARY FIGUEROA</t>
  </si>
  <si>
    <t>V-32.638.298</t>
  </si>
  <si>
    <t>LEIDY ROJAS</t>
  </si>
  <si>
    <t>V-14.421.759</t>
  </si>
  <si>
    <t>ANHERLY AMUNDARAIN</t>
  </si>
  <si>
    <t>V-27.482.759</t>
  </si>
  <si>
    <t xml:space="preserve">MINIMO APORTE A PENCIONES </t>
  </si>
  <si>
    <t>JARSSY FLORES</t>
  </si>
  <si>
    <t>V-26.152.964</t>
  </si>
  <si>
    <t>NORLYS GIFFONI</t>
  </si>
  <si>
    <t>V-20.176.760</t>
  </si>
  <si>
    <t>nn</t>
  </si>
  <si>
    <t>LISS VALDUZ</t>
  </si>
  <si>
    <t>V-32.582.093</t>
  </si>
  <si>
    <t>MANUEL ORTEGA</t>
  </si>
  <si>
    <t>V-31.088.005</t>
  </si>
  <si>
    <t>CASAÑAS ROJAS ANYINEY ELENA</t>
  </si>
  <si>
    <t>11 meses</t>
  </si>
  <si>
    <t>3 meses</t>
  </si>
  <si>
    <t>CIFFONI LONGA NORLYS JULEYSI</t>
  </si>
  <si>
    <t xml:space="preserve">FLORES HERNANDEZ JARSSY </t>
  </si>
  <si>
    <t xml:space="preserve">BARRIOS NADALES ELODEXY </t>
  </si>
  <si>
    <t>6 meses</t>
  </si>
  <si>
    <t>GUERRA ROMERO SAID JOKSUEL</t>
  </si>
  <si>
    <t>2 meses</t>
  </si>
  <si>
    <t xml:space="preserve">ORTEGA BRAVO MANUEL </t>
  </si>
  <si>
    <t>4 meses</t>
  </si>
  <si>
    <t xml:space="preserve">BASTIDAS ZAMBRANO ENMANUEL </t>
  </si>
  <si>
    <t>8 meses</t>
  </si>
  <si>
    <t xml:space="preserve">2 meses </t>
  </si>
  <si>
    <t>MARIANGEL ROA</t>
  </si>
  <si>
    <t>V-31.225.355</t>
  </si>
  <si>
    <t>ANGEL VARGAS</t>
  </si>
  <si>
    <t>V-30.991.028</t>
  </si>
  <si>
    <t>NOMINA MENSUAL MES DE FEBRERO 2026</t>
  </si>
  <si>
    <t>WILLIAM JOSE DIAZ BLANCO</t>
  </si>
  <si>
    <t>LURDEYNIS BRAZON APURE</t>
  </si>
  <si>
    <t>ALEXANDER DAVID ARAUJO TORO</t>
  </si>
  <si>
    <t>JHONNY JOSE SIERRA PORRAS</t>
  </si>
  <si>
    <t>MARIELA GONZALEZ PERDOMO</t>
  </si>
  <si>
    <t>LUIS GERARDO CAMACHO RAMIREZ</t>
  </si>
  <si>
    <t>JAIRO JOSE URBINA PEREZ</t>
  </si>
  <si>
    <t>CARLOS BASTARDO RAMIREZ</t>
  </si>
  <si>
    <t>LEONARDO CARABALLO GARCIA</t>
  </si>
  <si>
    <t>V-9.493.572</t>
  </si>
  <si>
    <t>LESBISAY HERNANDEZ RODRIGUEZ</t>
  </si>
  <si>
    <t>MARIA YECENIA LA CRUZ MEJIAS</t>
  </si>
  <si>
    <t>GUSTAIRIT MARIA SALAZAR VIÑOLES</t>
  </si>
  <si>
    <t>DEISY CARDENAS CORONADO</t>
  </si>
  <si>
    <t>JESCI GONZALEZ HERRERA</t>
  </si>
  <si>
    <t>YESLANY KARINA QUIÑONEZ LOPEZ</t>
  </si>
  <si>
    <t>RUBIA ISABELA GONZALEZ PALMAR</t>
  </si>
  <si>
    <t xml:space="preserve">ILIANNIS YIRBELYS RANGEL </t>
  </si>
  <si>
    <t>BENILDA JANETH MEDINA MERCHAN</t>
  </si>
  <si>
    <t>DEYKER ESCALONA SARMIENTO</t>
  </si>
  <si>
    <t>MARCO YOEL TOVAR RINCON</t>
  </si>
  <si>
    <t>JEHILYN GABRIELA PIÑERO SILVA</t>
  </si>
  <si>
    <t>BARBARA URBINA SANCHEZ</t>
  </si>
  <si>
    <t>LUIS MANUEL MONSALVE CISNEROS</t>
  </si>
  <si>
    <t>ANYINEY ELENA CASAÑAS ROJAS</t>
  </si>
  <si>
    <t>V-15.421.759</t>
  </si>
  <si>
    <t>V-30.481.770</t>
  </si>
  <si>
    <t>SAID GUERRA</t>
  </si>
  <si>
    <t>MARIANGEL CAROLINA ROA VILLASMIL</t>
  </si>
  <si>
    <t>ANGEL AMILCAR VARGAS ACOSTA</t>
  </si>
  <si>
    <t>SEGURIDAD</t>
  </si>
  <si>
    <t>AUXILIAR DE SERVICIOS GENERALES</t>
  </si>
  <si>
    <t>ALAMACENISTA</t>
  </si>
  <si>
    <t>GESTOR DE REDES SOCIALES</t>
  </si>
  <si>
    <t>ASESOR DE VENTAS</t>
  </si>
  <si>
    <t>AUXILIAR GENERAL</t>
  </si>
  <si>
    <t>ASISTENTE GERENCIAL</t>
  </si>
  <si>
    <t>ASISTENTE ADMINISTRATIVO</t>
  </si>
  <si>
    <t>MIGUEL JOSE RIVERO LOZADA</t>
  </si>
  <si>
    <t>V-25.032.670</t>
  </si>
  <si>
    <t>MOISES BENJAMIN ROMAN BERROTERAN</t>
  </si>
  <si>
    <t>V-30.383.096</t>
  </si>
  <si>
    <t>MOISES ROMAN</t>
  </si>
  <si>
    <t>MIGUEL RIVERO</t>
  </si>
  <si>
    <t>25.032.670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</si>
</sst>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Bs-200A]\ #,##0.00"/>
    <numFmt numFmtId="165" formatCode="[$$-2C0A]\ #,##0.00"/>
    <numFmt numFmtId="166" formatCode="[$$-2C0A]\ #,##0"/>
    <numFmt numFmtId="167" formatCode="#,##0.00_ ;\-#,##0.00\ "/>
    <numFmt numFmtId="168" formatCode="[$$-2C0A]\ #,##0.00;\-[$$-2C0A]\ #,##0.00"/>
    <numFmt numFmtId="169" formatCode="dd/mm/yyyy;@"/>
    <numFmt numFmtId="170" formatCode="_ * #,##0_ ;_ * \-#,##0_ ;_ * &quot;-&quot;??_ ;_ @_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70C0"/>
      <name val="Arial"/>
      <family val="2"/>
    </font>
    <font>
      <sz val="11"/>
      <color rgb="FF00B0F0"/>
      <name val="Arial"/>
      <family val="2"/>
    </font>
    <font>
      <b/>
      <u/>
      <sz val="11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sz val="11"/>
      <color rgb="FFFF0000"/>
      <name val="Arial"/>
      <family val="2"/>
    </font>
    <font>
      <sz val="11"/>
      <color rgb="FFC00000"/>
      <name val="Arial"/>
      <family val="2"/>
    </font>
    <font>
      <b/>
      <u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0" fillId="0" borderId="0"/>
  </cellStyleXfs>
  <cellXfs count="163">
    <xf numFmtId="0" fontId="0" fillId="0" borderId="0" xfId="0"/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3" borderId="11" xfId="0" applyFont="1" applyFill="1" applyBorder="1" applyAlignment="1" applyProtection="1">
      <alignment horizontal="center" vertical="center" wrapText="1"/>
      <protection hidden="1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3" borderId="11" xfId="0" applyFont="1" applyFill="1" applyBorder="1" applyAlignment="1" applyProtection="1">
      <alignment horizontal="center" vertical="top" wrapText="1"/>
      <protection hidden="1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vertical="center"/>
      <protection locked="0"/>
    </xf>
    <xf numFmtId="49" fontId="8" fillId="0" borderId="0" xfId="0" applyNumberFormat="1" applyFont="1" applyAlignment="1" applyProtection="1">
      <alignment horizontal="left" vertical="center" indent="2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165" fontId="8" fillId="0" borderId="0" xfId="0" applyNumberFormat="1" applyFont="1" applyAlignment="1" applyProtection="1">
      <alignment vertical="center"/>
      <protection locked="0"/>
    </xf>
    <xf numFmtId="17" fontId="11" fillId="0" borderId="0" xfId="0" applyNumberFormat="1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 indent="2"/>
      <protection locked="0"/>
    </xf>
    <xf numFmtId="49" fontId="12" fillId="0" borderId="0" xfId="0" applyNumberFormat="1" applyFont="1" applyAlignment="1" applyProtection="1">
      <alignment horizontal="left" vertical="center" indent="2"/>
      <protection locked="0"/>
    </xf>
    <xf numFmtId="0" fontId="13" fillId="0" borderId="0" xfId="0" applyFont="1" applyAlignment="1" applyProtection="1">
      <alignment vertical="center"/>
      <protection locked="0"/>
    </xf>
    <xf numFmtId="17" fontId="13" fillId="0" borderId="0" xfId="0" applyNumberFormat="1" applyFont="1" applyAlignment="1" applyProtection="1">
      <alignment vertical="center"/>
      <protection locked="0"/>
    </xf>
    <xf numFmtId="49" fontId="8" fillId="0" borderId="0" xfId="0" applyNumberFormat="1" applyFont="1" applyAlignment="1" applyProtection="1">
      <alignment horizontal="left" vertical="top"/>
      <protection locked="0"/>
    </xf>
    <xf numFmtId="0" fontId="14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6" fontId="9" fillId="0" borderId="0" xfId="0" applyNumberFormat="1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0" fillId="0" borderId="11" xfId="0" applyBorder="1"/>
    <xf numFmtId="0" fontId="0" fillId="0" borderId="11" xfId="0" applyBorder="1" applyAlignment="1">
      <alignment horizontal="center"/>
    </xf>
    <xf numFmtId="4" fontId="8" fillId="4" borderId="11" xfId="0" applyNumberFormat="1" applyFont="1" applyFill="1" applyBorder="1" applyAlignment="1" applyProtection="1">
      <alignment horizontal="center" vertical="center"/>
      <protection locked="0" hidden="1"/>
    </xf>
    <xf numFmtId="4" fontId="8" fillId="4" borderId="16" xfId="0" applyNumberFormat="1" applyFont="1" applyFill="1" applyBorder="1" applyAlignment="1" applyProtection="1">
      <alignment horizontal="center" vertical="center"/>
      <protection locked="0" hidden="1"/>
    </xf>
    <xf numFmtId="14" fontId="8" fillId="4" borderId="11" xfId="0" applyNumberFormat="1" applyFont="1" applyFill="1" applyBorder="1" applyAlignment="1" applyProtection="1">
      <alignment horizontal="center" vertical="center"/>
      <protection locked="0" hidden="1"/>
    </xf>
    <xf numFmtId="4" fontId="8" fillId="0" borderId="11" xfId="0" applyNumberFormat="1" applyFont="1" applyBorder="1" applyAlignment="1" applyProtection="1">
      <alignment horizontal="center" vertical="center"/>
      <protection locked="0"/>
    </xf>
    <xf numFmtId="3" fontId="8" fillId="0" borderId="11" xfId="0" applyNumberFormat="1" applyFont="1" applyBorder="1" applyAlignment="1" applyProtection="1">
      <alignment horizontal="center" vertical="center"/>
      <protection locked="0"/>
    </xf>
    <xf numFmtId="4" fontId="9" fillId="0" borderId="11" xfId="0" applyNumberFormat="1" applyFont="1" applyBorder="1" applyAlignment="1" applyProtection="1">
      <alignment horizontal="center" vertical="center"/>
      <protection locked="0"/>
    </xf>
    <xf numFmtId="4" fontId="9" fillId="5" borderId="11" xfId="0" applyNumberFormat="1" applyFont="1" applyFill="1" applyBorder="1" applyAlignment="1" applyProtection="1">
      <alignment horizontal="center" vertical="center"/>
      <protection locked="0"/>
    </xf>
    <xf numFmtId="4" fontId="8" fillId="4" borderId="11" xfId="0" applyNumberFormat="1" applyFont="1" applyFill="1" applyBorder="1" applyAlignment="1" applyProtection="1">
      <alignment horizontal="center" vertical="center"/>
      <protection hidden="1"/>
    </xf>
    <xf numFmtId="10" fontId="8" fillId="4" borderId="11" xfId="0" applyNumberFormat="1" applyFont="1" applyFill="1" applyBorder="1" applyAlignment="1" applyProtection="1">
      <alignment horizontal="center" vertical="center"/>
      <protection hidden="1"/>
    </xf>
    <xf numFmtId="4" fontId="16" fillId="0" borderId="11" xfId="0" applyNumberFormat="1" applyFont="1" applyBorder="1" applyAlignment="1" applyProtection="1">
      <alignment horizontal="center" vertical="center"/>
      <protection locked="0"/>
    </xf>
    <xf numFmtId="4" fontId="7" fillId="4" borderId="11" xfId="0" applyNumberFormat="1" applyFont="1" applyFill="1" applyBorder="1" applyAlignment="1" applyProtection="1">
      <alignment horizontal="center" vertical="center"/>
      <protection locked="0"/>
    </xf>
    <xf numFmtId="43" fontId="7" fillId="0" borderId="0" xfId="1" applyFont="1" applyFill="1" applyAlignment="1" applyProtection="1">
      <alignment vertical="center"/>
      <protection locked="0"/>
    </xf>
    <xf numFmtId="14" fontId="8" fillId="0" borderId="11" xfId="0" applyNumberFormat="1" applyFont="1" applyBorder="1" applyAlignment="1" applyProtection="1">
      <alignment horizontal="center" vertical="center"/>
      <protection locked="0" hidden="1"/>
    </xf>
    <xf numFmtId="0" fontId="7" fillId="0" borderId="11" xfId="1" applyNumberFormat="1" applyFont="1" applyFill="1" applyBorder="1" applyAlignment="1" applyProtection="1">
      <alignment vertical="center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4" fontId="12" fillId="0" borderId="11" xfId="0" applyNumberFormat="1" applyFont="1" applyBorder="1" applyAlignment="1" applyProtection="1">
      <alignment horizontal="center" vertical="center"/>
      <protection locked="0"/>
    </xf>
    <xf numFmtId="4" fontId="13" fillId="0" borderId="11" xfId="0" applyNumberFormat="1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4" fontId="12" fillId="0" borderId="11" xfId="0" applyNumberFormat="1" applyFont="1" applyBorder="1" applyAlignment="1" applyProtection="1">
      <alignment vertical="center"/>
      <protection locked="0"/>
    </xf>
    <xf numFmtId="4" fontId="12" fillId="5" borderId="11" xfId="0" applyNumberFormat="1" applyFont="1" applyFill="1" applyBorder="1" applyAlignment="1" applyProtection="1">
      <alignment horizontal="center" vertical="center"/>
      <protection locked="0"/>
    </xf>
    <xf numFmtId="4" fontId="12" fillId="4" borderId="11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167" fontId="12" fillId="0" borderId="0" xfId="1" applyNumberFormat="1" applyFont="1" applyFill="1" applyAlignment="1" applyProtection="1">
      <alignment vertical="center"/>
      <protection locked="0"/>
    </xf>
    <xf numFmtId="43" fontId="7" fillId="0" borderId="0" xfId="1" applyFont="1" applyFill="1" applyBorder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4" fontId="13" fillId="4" borderId="0" xfId="0" applyNumberFormat="1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43" fontId="6" fillId="0" borderId="0" xfId="1" applyFont="1" applyFill="1" applyAlignment="1" applyProtection="1">
      <alignment vertical="center"/>
      <protection locked="0"/>
    </xf>
    <xf numFmtId="168" fontId="9" fillId="0" borderId="0" xfId="1" applyNumberFormat="1" applyFont="1" applyFill="1" applyAlignment="1" applyProtection="1">
      <alignment vertical="center"/>
      <protection locked="0"/>
    </xf>
    <xf numFmtId="49" fontId="6" fillId="0" borderId="0" xfId="1" applyNumberFormat="1" applyFont="1" applyFill="1" applyAlignment="1" applyProtection="1">
      <alignment horizontal="center" vertical="center"/>
      <protection locked="0"/>
    </xf>
    <xf numFmtId="0" fontId="7" fillId="0" borderId="0" xfId="0" applyFont="1" applyAlignment="1">
      <alignment vertical="center" wrapText="1"/>
    </xf>
    <xf numFmtId="0" fontId="7" fillId="0" borderId="0" xfId="0" applyFont="1" applyAlignment="1" applyProtection="1">
      <alignment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4" fontId="8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 applyProtection="1">
      <alignment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4" fontId="8" fillId="0" borderId="0" xfId="0" applyNumberFormat="1" applyFont="1" applyAlignment="1" applyProtection="1">
      <alignment vertical="center"/>
      <protection locked="0"/>
    </xf>
    <xf numFmtId="43" fontId="8" fillId="4" borderId="11" xfId="1" applyFont="1" applyFill="1" applyBorder="1" applyAlignment="1" applyProtection="1">
      <alignment horizontal="center" vertical="center"/>
      <protection locked="0" hidden="1"/>
    </xf>
    <xf numFmtId="43" fontId="8" fillId="4" borderId="16" xfId="1" applyFont="1" applyFill="1" applyBorder="1" applyAlignment="1" applyProtection="1">
      <alignment horizontal="center" vertical="center"/>
      <protection locked="0" hidden="1"/>
    </xf>
    <xf numFmtId="164" fontId="9" fillId="0" borderId="0" xfId="0" applyNumberFormat="1" applyFont="1" applyAlignment="1" applyProtection="1">
      <alignment vertical="center"/>
      <protection locked="0"/>
    </xf>
    <xf numFmtId="165" fontId="9" fillId="0" borderId="0" xfId="0" applyNumberFormat="1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43" fontId="0" fillId="0" borderId="0" xfId="1" applyFont="1"/>
    <xf numFmtId="43" fontId="0" fillId="0" borderId="0" xfId="0" applyNumberFormat="1"/>
    <xf numFmtId="0" fontId="0" fillId="4" borderId="11" xfId="0" applyFill="1" applyBorder="1"/>
    <xf numFmtId="0" fontId="19" fillId="4" borderId="11" xfId="0" applyFont="1" applyFill="1" applyBorder="1"/>
    <xf numFmtId="0" fontId="19" fillId="4" borderId="11" xfId="0" applyFont="1" applyFill="1" applyBorder="1" applyAlignment="1">
      <alignment horizontal="left"/>
    </xf>
    <xf numFmtId="43" fontId="0" fillId="4" borderId="11" xfId="1" applyFont="1" applyFill="1" applyBorder="1" applyAlignment="1">
      <alignment horizontal="center"/>
    </xf>
    <xf numFmtId="4" fontId="8" fillId="4" borderId="11" xfId="0" applyNumberFormat="1" applyFont="1" applyFill="1" applyBorder="1" applyAlignment="1" applyProtection="1">
      <alignment horizontal="center" vertical="center"/>
      <protection locked="0"/>
    </xf>
    <xf numFmtId="4" fontId="9" fillId="4" borderId="11" xfId="0" applyNumberFormat="1" applyFont="1" applyFill="1" applyBorder="1" applyAlignment="1" applyProtection="1">
      <alignment horizontal="center" vertical="center"/>
      <protection locked="0"/>
    </xf>
    <xf numFmtId="4" fontId="16" fillId="4" borderId="11" xfId="0" applyNumberFormat="1" applyFont="1" applyFill="1" applyBorder="1" applyAlignment="1" applyProtection="1">
      <alignment horizontal="center" vertical="center"/>
      <protection locked="0"/>
    </xf>
    <xf numFmtId="0" fontId="0" fillId="4" borderId="11" xfId="0" applyFill="1" applyBorder="1" applyAlignment="1">
      <alignment horizontal="left"/>
    </xf>
    <xf numFmtId="49" fontId="0" fillId="4" borderId="11" xfId="0" applyNumberFormat="1" applyFill="1" applyBorder="1" applyProtection="1">
      <protection locked="0"/>
    </xf>
    <xf numFmtId="0" fontId="7" fillId="4" borderId="11" xfId="1" applyNumberFormat="1" applyFont="1" applyFill="1" applyBorder="1" applyAlignment="1" applyProtection="1">
      <alignment vertical="center"/>
      <protection locked="0"/>
    </xf>
    <xf numFmtId="0" fontId="7" fillId="4" borderId="11" xfId="0" applyFont="1" applyFill="1" applyBorder="1" applyAlignment="1" applyProtection="1">
      <alignment horizontal="left" vertical="center"/>
      <protection locked="0"/>
    </xf>
    <xf numFmtId="0" fontId="7" fillId="4" borderId="11" xfId="0" applyFont="1" applyFill="1" applyBorder="1" applyAlignment="1" applyProtection="1">
      <alignment vertical="center"/>
      <protection locked="0"/>
    </xf>
    <xf numFmtId="43" fontId="12" fillId="4" borderId="11" xfId="1" applyFont="1" applyFill="1" applyBorder="1" applyAlignment="1" applyProtection="1">
      <alignment horizontal="center" vertical="center"/>
      <protection locked="0"/>
    </xf>
    <xf numFmtId="43" fontId="13" fillId="4" borderId="11" xfId="1" applyFont="1" applyFill="1" applyBorder="1" applyAlignment="1" applyProtection="1">
      <alignment horizontal="center" vertical="center"/>
      <protection locked="0"/>
    </xf>
    <xf numFmtId="0" fontId="8" fillId="4" borderId="11" xfId="0" applyFont="1" applyFill="1" applyBorder="1" applyAlignment="1" applyProtection="1">
      <alignment vertical="center"/>
      <protection locked="0"/>
    </xf>
    <xf numFmtId="4" fontId="12" fillId="4" borderId="11" xfId="0" applyNumberFormat="1" applyFont="1" applyFill="1" applyBorder="1" applyAlignment="1" applyProtection="1">
      <alignment vertical="center"/>
      <protection locked="0"/>
    </xf>
    <xf numFmtId="4" fontId="12" fillId="4" borderId="11" xfId="0" applyNumberFormat="1" applyFont="1" applyFill="1" applyBorder="1" applyAlignment="1" applyProtection="1">
      <alignment horizontal="center" vertical="center"/>
      <protection locked="0"/>
    </xf>
    <xf numFmtId="43" fontId="8" fillId="4" borderId="11" xfId="1" applyFont="1" applyFill="1" applyBorder="1" applyAlignment="1" applyProtection="1">
      <alignment horizontal="center" vertical="center"/>
      <protection locked="0"/>
    </xf>
    <xf numFmtId="0" fontId="0" fillId="4" borderId="0" xfId="0" applyFill="1"/>
    <xf numFmtId="0" fontId="22" fillId="6" borderId="12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4" fontId="23" fillId="0" borderId="12" xfId="2" applyNumberFormat="1" applyFont="1" applyBorder="1" applyAlignment="1">
      <alignment horizontal="center" vertical="center" wrapText="1"/>
    </xf>
    <xf numFmtId="0" fontId="22" fillId="4" borderId="13" xfId="0" applyFont="1" applyFill="1" applyBorder="1" applyAlignment="1">
      <alignment vertical="center"/>
    </xf>
    <xf numFmtId="4" fontId="23" fillId="0" borderId="13" xfId="2" applyNumberFormat="1" applyFont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left" vertical="center"/>
    </xf>
    <xf numFmtId="4" fontId="23" fillId="0" borderId="18" xfId="2" applyNumberFormat="1" applyFont="1" applyBorder="1" applyAlignment="1">
      <alignment horizontal="center" vertical="center" wrapText="1"/>
    </xf>
    <xf numFmtId="43" fontId="0" fillId="0" borderId="11" xfId="1" applyFont="1" applyBorder="1"/>
    <xf numFmtId="2" fontId="0" fillId="0" borderId="11" xfId="0" applyNumberFormat="1" applyBorder="1"/>
    <xf numFmtId="169" fontId="0" fillId="0" borderId="11" xfId="0" applyNumberFormat="1" applyBorder="1"/>
    <xf numFmtId="170" fontId="0" fillId="0" borderId="11" xfId="1" applyNumberFormat="1" applyFont="1" applyBorder="1"/>
    <xf numFmtId="43" fontId="0" fillId="0" borderId="11" xfId="0" applyNumberFormat="1" applyBorder="1"/>
    <xf numFmtId="0" fontId="1" fillId="4" borderId="11" xfId="0" applyFont="1" applyFill="1" applyBorder="1"/>
    <xf numFmtId="43" fontId="0" fillId="4" borderId="11" xfId="1" applyFont="1" applyFill="1" applyBorder="1"/>
    <xf numFmtId="169" fontId="0" fillId="4" borderId="11" xfId="0" applyNumberFormat="1" applyFill="1" applyBorder="1"/>
    <xf numFmtId="2" fontId="0" fillId="4" borderId="11" xfId="0" applyNumberFormat="1" applyFill="1" applyBorder="1"/>
    <xf numFmtId="170" fontId="0" fillId="4" borderId="11" xfId="1" applyNumberFormat="1" applyFont="1" applyFill="1" applyBorder="1"/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3" borderId="17" xfId="0" applyFont="1" applyFill="1" applyBorder="1" applyAlignment="1" applyProtection="1">
      <alignment horizontal="center" vertical="top" wrapText="1"/>
      <protection hidden="1"/>
    </xf>
    <xf numFmtId="43" fontId="1" fillId="4" borderId="11" xfId="1" applyFont="1" applyFill="1" applyBorder="1" applyAlignment="1">
      <alignment horizontal="center"/>
    </xf>
    <xf numFmtId="43" fontId="24" fillId="4" borderId="11" xfId="1" applyFont="1" applyFill="1" applyBorder="1" applyAlignment="1" applyProtection="1">
      <alignment horizontal="center" vertical="center"/>
      <protection locked="0" hidden="1"/>
    </xf>
    <xf numFmtId="43" fontId="24" fillId="4" borderId="16" xfId="1" applyFont="1" applyFill="1" applyBorder="1" applyAlignment="1" applyProtection="1">
      <alignment horizontal="center" vertical="center"/>
      <protection locked="0" hidden="1"/>
    </xf>
    <xf numFmtId="14" fontId="24" fillId="4" borderId="11" xfId="0" applyNumberFormat="1" applyFont="1" applyFill="1" applyBorder="1" applyAlignment="1" applyProtection="1">
      <alignment horizontal="center" vertical="center"/>
      <protection locked="0" hidden="1"/>
    </xf>
    <xf numFmtId="43" fontId="24" fillId="4" borderId="11" xfId="1" applyFont="1" applyFill="1" applyBorder="1" applyAlignment="1" applyProtection="1">
      <alignment horizontal="center" vertical="center"/>
      <protection locked="0"/>
    </xf>
    <xf numFmtId="4" fontId="24" fillId="4" borderId="11" xfId="0" applyNumberFormat="1" applyFont="1" applyFill="1" applyBorder="1" applyAlignment="1" applyProtection="1">
      <alignment horizontal="center" vertical="center"/>
      <protection locked="0"/>
    </xf>
    <xf numFmtId="4" fontId="24" fillId="4" borderId="11" xfId="0" applyNumberFormat="1" applyFont="1" applyFill="1" applyBorder="1" applyAlignment="1" applyProtection="1">
      <alignment horizontal="right" vertical="center"/>
      <protection hidden="1"/>
    </xf>
    <xf numFmtId="10" fontId="24" fillId="4" borderId="11" xfId="0" applyNumberFormat="1" applyFont="1" applyFill="1" applyBorder="1" applyAlignment="1" applyProtection="1">
      <alignment horizontal="right" vertical="center"/>
      <protection hidden="1"/>
    </xf>
    <xf numFmtId="43" fontId="24" fillId="4" borderId="11" xfId="1" applyFont="1" applyFill="1" applyBorder="1" applyAlignment="1" applyProtection="1">
      <alignment horizontal="right" vertical="center"/>
      <protection hidden="1"/>
    </xf>
    <xf numFmtId="170" fontId="24" fillId="4" borderId="11" xfId="1" applyNumberFormat="1" applyFont="1" applyFill="1" applyBorder="1" applyAlignment="1" applyProtection="1">
      <alignment horizontal="center" vertical="center"/>
      <protection locked="0"/>
    </xf>
    <xf numFmtId="43" fontId="0" fillId="4" borderId="11" xfId="0" applyNumberFormat="1" applyFill="1" applyBorder="1"/>
    <xf numFmtId="0" fontId="4" fillId="7" borderId="11" xfId="0" applyFont="1" applyFill="1" applyBorder="1" applyAlignment="1" applyProtection="1">
      <alignment horizontal="center" vertical="center" wrapText="1"/>
      <protection locked="0"/>
    </xf>
    <xf numFmtId="0" fontId="4" fillId="7" borderId="13" xfId="0" applyFont="1" applyFill="1" applyBorder="1" applyAlignment="1" applyProtection="1">
      <alignment horizontal="center" vertical="center" wrapText="1"/>
      <protection locked="0"/>
    </xf>
    <xf numFmtId="0" fontId="4" fillId="7" borderId="17" xfId="0" applyFont="1" applyFill="1" applyBorder="1" applyAlignment="1" applyProtection="1">
      <alignment horizontal="center" vertical="center" wrapText="1"/>
      <protection locked="0"/>
    </xf>
    <xf numFmtId="0" fontId="4" fillId="7" borderId="20" xfId="0" applyFont="1" applyFill="1" applyBorder="1" applyAlignment="1" applyProtection="1">
      <alignment horizontal="center" vertical="center" wrapText="1"/>
      <protection locked="0"/>
    </xf>
    <xf numFmtId="3" fontId="24" fillId="4" borderId="11" xfId="0" applyNumberFormat="1" applyFont="1" applyFill="1" applyBorder="1" applyAlignment="1" applyProtection="1">
      <alignment vertical="center"/>
      <protection locked="0"/>
    </xf>
    <xf numFmtId="0" fontId="25" fillId="4" borderId="0" xfId="0" applyFont="1" applyFill="1" applyAlignment="1" applyProtection="1">
      <alignment vertical="center"/>
      <protection locked="0"/>
    </xf>
    <xf numFmtId="164" fontId="10" fillId="0" borderId="1" xfId="0" applyNumberFormat="1" applyFont="1" applyBorder="1" applyAlignment="1" applyProtection="1">
      <alignment horizontal="center" vertical="center"/>
      <protection locked="0"/>
    </xf>
    <xf numFmtId="164" fontId="10" fillId="0" borderId="3" xfId="0" applyNumberFormat="1" applyFont="1" applyBorder="1" applyAlignment="1" applyProtection="1">
      <alignment horizontal="center" vertical="center"/>
      <protection locked="0"/>
    </xf>
    <xf numFmtId="164" fontId="10" fillId="0" borderId="5" xfId="0" applyNumberFormat="1" applyFont="1" applyBorder="1" applyAlignment="1" applyProtection="1">
      <alignment horizontal="center" vertical="center"/>
      <protection locked="0"/>
    </xf>
    <xf numFmtId="164" fontId="10" fillId="0" borderId="2" xfId="0" applyNumberFormat="1" applyFont="1" applyBorder="1" applyAlignment="1" applyProtection="1">
      <alignment horizontal="center" vertical="center"/>
      <protection locked="0"/>
    </xf>
    <xf numFmtId="164" fontId="10" fillId="0" borderId="4" xfId="0" applyNumberFormat="1" applyFont="1" applyBorder="1" applyAlignment="1" applyProtection="1">
      <alignment horizontal="center" vertical="center"/>
      <protection locked="0"/>
    </xf>
    <xf numFmtId="164" fontId="10" fillId="0" borderId="6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2" borderId="10" xfId="0" applyFont="1" applyFill="1" applyBorder="1" applyAlignment="1" applyProtection="1">
      <alignment horizontal="center" vertical="center" wrapText="1"/>
      <protection locked="0"/>
    </xf>
    <xf numFmtId="0" fontId="12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4" fillId="3" borderId="11" xfId="0" applyFont="1" applyFill="1" applyBorder="1" applyAlignment="1" applyProtection="1">
      <alignment horizontal="center" vertical="center" wrapText="1"/>
      <protection hidden="1"/>
    </xf>
    <xf numFmtId="0" fontId="4" fillId="3" borderId="1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left" vertical="center" wrapText="1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7" borderId="11" xfId="0" applyFont="1" applyFill="1" applyBorder="1" applyAlignment="1" applyProtection="1">
      <alignment horizontal="center" vertical="center" wrapText="1"/>
      <protection locked="0"/>
    </xf>
    <xf numFmtId="0" fontId="4" fillId="7" borderId="17" xfId="0" applyFont="1" applyFill="1" applyBorder="1" applyAlignment="1" applyProtection="1">
      <alignment horizontal="center" vertical="center" wrapText="1"/>
      <protection locked="0"/>
    </xf>
    <xf numFmtId="0" fontId="5" fillId="7" borderId="14" xfId="0" applyFont="1" applyFill="1" applyBorder="1" applyAlignment="1" applyProtection="1">
      <alignment horizontal="center" vertical="center" wrapText="1"/>
      <protection locked="0"/>
    </xf>
    <xf numFmtId="0" fontId="5" fillId="7" borderId="17" xfId="0" applyFont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horizontal="center" vertical="center" wrapText="1"/>
      <protection locked="0"/>
    </xf>
    <xf numFmtId="0" fontId="4" fillId="3" borderId="17" xfId="0" applyFont="1" applyFill="1" applyBorder="1" applyAlignment="1" applyProtection="1">
      <alignment horizontal="center" vertical="center" wrapText="1"/>
      <protection hidden="1"/>
    </xf>
    <xf numFmtId="0" fontId="12" fillId="7" borderId="10" xfId="0" applyFont="1" applyFill="1" applyBorder="1" applyAlignment="1" applyProtection="1">
      <alignment horizontal="center" vertical="center" wrapText="1"/>
      <protection locked="0"/>
    </xf>
    <xf numFmtId="0" fontId="12" fillId="7" borderId="19" xfId="0" applyFont="1" applyFill="1" applyBorder="1" applyAlignment="1" applyProtection="1">
      <alignment horizontal="center" vertical="center" wrapText="1"/>
      <protection locked="0"/>
    </xf>
    <xf numFmtId="0" fontId="4" fillId="7" borderId="12" xfId="0" applyFont="1" applyFill="1" applyBorder="1" applyAlignment="1" applyProtection="1">
      <alignment horizontal="center" vertical="center" wrapText="1"/>
      <protection locked="0"/>
    </xf>
    <xf numFmtId="0" fontId="4" fillId="7" borderId="13" xfId="0" applyFont="1" applyFill="1" applyBorder="1" applyAlignment="1" applyProtection="1">
      <alignment horizontal="center" vertical="center" wrapText="1"/>
      <protection locked="0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26831</xdr:colOff>
      <xdr:row>39</xdr:row>
      <xdr:rowOff>0</xdr:rowOff>
    </xdr:from>
    <xdr:ext cx="5521778" cy="1409700"/>
    <xdr:sp macro="" textlink="">
      <xdr:nvSpPr>
        <xdr:cNvPr id="2" name="5 Rectáng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3057031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3" name="6 Rectángul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4" name="7 Rectángul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6" name="9 Rectángul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7" name="10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8" name="11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9" name="12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10" name="13 Rectángul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11" name="14 Rectángul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12" name="15 Rectángul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13" name="16 Rectángul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14" name="17 Rectángul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15" name="18 Rectángul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16" name="19 Rectángul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17" name="20 Rectángul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18" name="21 Rectángul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19" name="22 Rectángul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20" name="23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21" name="24 Rectángul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22" name="25 Rectángul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23" name="26 Rectángul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24" name="27 Rectángul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25" name="28 Rectángul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26" name="29 Rectángul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27" name="30 Rectángul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28" name="31 Rectángul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29" name="32 Rectángul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30" name="33 Rectángul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31" name="34 Rectángul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32" name="35 Rectángul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33" name="36 Rectángul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34" name="37 Rectángul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35" name="38 Rectángul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36" name="39 Rectángul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37" name="40 Rectángul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38" name="41 Rectángul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39" name="42 Rectángul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40" name="43 Rectángul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41" name="44 Rectángul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42" name="45 Rectángul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43" name="46 Rectángul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44" name="47 Rectángul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45" name="48 Rectángul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46" name="49 Rectángul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47" name="50 Rectángul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48" name="51 Rectángul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49" name="52 Rectángul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50" name="53 Rectángul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51" name="54 Rectángul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52" name="55 Rectángul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53" name="56 Rectángul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54" name="57 Rectángul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55" name="58 Rectángul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56" name="59 Rectángul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57" name="60 Rectángul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58" name="61 Rectángul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59" name="62 Rectángul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60" name="63 Rectángul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61" name="64 Rectángul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62" name="65 Rectángul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63" name="66 Rectángul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64" name="67 Rectángul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65" name="68 Rectángulo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66" name="69 Rectángulo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67" name="70 Rectángul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68" name="71 Rectángul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69" name="72 Rectángul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70" name="73 Rectángul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71" name="74 Rectángul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72" name="75 Rectángul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73" name="76 Rectángul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74" name="77 Rectángul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75" name="78 Rectángul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76" name="79 Rectángul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77" name="80 Rectángul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78" name="81 Rectángul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79" name="82 Rectángul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80" name="83 Rectángul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81" name="84 Rectángul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82" name="85 Rectángul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83" name="86 Rectángulo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9" cy="1409700"/>
    <xdr:sp macro="" textlink="">
      <xdr:nvSpPr>
        <xdr:cNvPr id="84" name="87 Rectángulo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85" name="88 Rectángul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86" name="89 Rectángul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87" name="90 Rectángul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88" name="91 Rectángul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39</xdr:row>
      <xdr:rowOff>0</xdr:rowOff>
    </xdr:from>
    <xdr:ext cx="5521778" cy="1409700"/>
    <xdr:sp macro="" textlink="">
      <xdr:nvSpPr>
        <xdr:cNvPr id="89" name="92 Rectángul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rrowheads="1"/>
        </xdr:cNvSpPr>
      </xdr:nvSpPr>
      <xdr:spPr bwMode="auto">
        <a:xfrm>
          <a:off x="13030200" y="75723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714375</xdr:colOff>
      <xdr:row>38</xdr:row>
      <xdr:rowOff>396875</xdr:rowOff>
    </xdr:from>
    <xdr:ext cx="5521778" cy="1409700"/>
    <xdr:sp macro="" textlink="">
      <xdr:nvSpPr>
        <xdr:cNvPr id="90" name="93 Rectángul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rrowheads="1"/>
        </xdr:cNvSpPr>
      </xdr:nvSpPr>
      <xdr:spPr bwMode="auto">
        <a:xfrm>
          <a:off x="13744575" y="756920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17</xdr:col>
      <xdr:colOff>269875</xdr:colOff>
      <xdr:row>1</xdr:row>
      <xdr:rowOff>111125</xdr:rowOff>
    </xdr:from>
    <xdr:to>
      <xdr:col>17</xdr:col>
      <xdr:colOff>666750</xdr:colOff>
      <xdr:row>2</xdr:row>
      <xdr:rowOff>15875</xdr:rowOff>
    </xdr:to>
    <xdr:sp macro="" textlink="">
      <xdr:nvSpPr>
        <xdr:cNvPr id="91" name="Flecha: hacia abajo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15405100" y="111125"/>
          <a:ext cx="396875" cy="1047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26831</xdr:colOff>
      <xdr:row>38</xdr:row>
      <xdr:rowOff>0</xdr:rowOff>
    </xdr:from>
    <xdr:ext cx="5521778" cy="1409700"/>
    <xdr:sp macro="" textlink="">
      <xdr:nvSpPr>
        <xdr:cNvPr id="2" name="5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4352431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3" name="6 Rectángu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4" name="7 Rectángul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6" name="9 Rectángul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7" name="10 Rectángul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8" name="11 Rectángul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9" name="12 Rectángul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10" name="13 Rectángul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11" name="14 Rectángul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12" name="15 Rectángul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13" name="16 Rectángul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14" name="17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15" name="18 Rectángul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16" name="19 Rectángul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17" name="20 Rectángulo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18" name="21 Rectángulo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19" name="22 Rectángulo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20" name="23 Rectángul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21" name="24 Rectángulo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22" name="25 Rectángulo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23" name="26 Rectángulo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24" name="27 Rectángulo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25" name="28 Rectángulo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26" name="29 Rectángulo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27" name="30 Rectángulo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28" name="31 Rectángulo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29" name="32 Rectángulo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30" name="33 Rectángulo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31" name="34 Rectángul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32" name="35 Rectángul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33" name="36 Rectángul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34" name="37 Rectángul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35" name="38 Rectángul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36" name="39 Rectángul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37" name="40 Rectángul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38" name="41 Rectángulo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39" name="42 Rectángulo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40" name="43 Rectángulo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41" name="44 Rectángulo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42" name="45 Rectángul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43" name="46 Rectángulo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44" name="47 Rectángulo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45" name="48 Rectángulo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46" name="49 Rectángulo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47" name="50 Rectángulo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48" name="51 Rectángulo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49" name="52 Rectángulo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50" name="53 Rectángulo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51" name="54 Rectángulo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52" name="55 Rectángulo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53" name="56 Rectángulo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54" name="57 Rectángulo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55" name="58 Rectángulo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56" name="59 Rectángulo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57" name="60 Rectángulo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58" name="61 Rectángulo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59" name="62 Rectángulo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60" name="63 Rectángulo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61" name="64 Rectángulo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62" name="65 Rectángulo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63" name="66 Rectángulo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64" name="67 Rectángulo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65" name="68 Rectángulo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66" name="69 Rectángulo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67" name="70 Rectángulo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68" name="71 Rectángulo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69" name="72 Rectángulo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70" name="73 Rectángulo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71" name="74 Rectángulo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72" name="75 Rectángulo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73" name="76 Rectángulo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74" name="77 Rectángulo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75" name="78 Rectángulo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76" name="79 Rectángulo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77" name="80 Rectángulo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78" name="81 Rectángulo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79" name="82 Rectángulo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80" name="83 Rectángulo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81" name="84 Rectángulo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82" name="85 Rectángulo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83" name="86 Rectángulo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9" cy="1409700"/>
    <xdr:sp macro="" textlink="">
      <xdr:nvSpPr>
        <xdr:cNvPr id="84" name="87 Rectángulo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85" name="88 Rectángulo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86" name="89 Rectángulo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87" name="90 Rectángulo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88" name="91 Rectángulo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38</xdr:row>
      <xdr:rowOff>0</xdr:rowOff>
    </xdr:from>
    <xdr:ext cx="5521778" cy="1409700"/>
    <xdr:sp macro="" textlink="">
      <xdr:nvSpPr>
        <xdr:cNvPr id="89" name="92 Rectángulo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rrowheads="1"/>
        </xdr:cNvSpPr>
      </xdr:nvSpPr>
      <xdr:spPr bwMode="auto">
        <a:xfrm>
          <a:off x="14325600" y="78676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714375</xdr:colOff>
      <xdr:row>37</xdr:row>
      <xdr:rowOff>396875</xdr:rowOff>
    </xdr:from>
    <xdr:ext cx="5521778" cy="1409700"/>
    <xdr:sp macro="" textlink="">
      <xdr:nvSpPr>
        <xdr:cNvPr id="90" name="93 Rectángulo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rrowheads="1"/>
        </xdr:cNvSpPr>
      </xdr:nvSpPr>
      <xdr:spPr bwMode="auto">
        <a:xfrm>
          <a:off x="15039975" y="7864475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17</xdr:col>
      <xdr:colOff>269875</xdr:colOff>
      <xdr:row>1</xdr:row>
      <xdr:rowOff>111125</xdr:rowOff>
    </xdr:from>
    <xdr:to>
      <xdr:col>17</xdr:col>
      <xdr:colOff>666750</xdr:colOff>
      <xdr:row>2</xdr:row>
      <xdr:rowOff>15875</xdr:rowOff>
    </xdr:to>
    <xdr:sp macro="" textlink="">
      <xdr:nvSpPr>
        <xdr:cNvPr id="91" name="Flecha: hacia abajo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16605250" y="311150"/>
          <a:ext cx="396875" cy="1047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26831</xdr:colOff>
      <xdr:row>43</xdr:row>
      <xdr:rowOff>0</xdr:rowOff>
    </xdr:from>
    <xdr:ext cx="5521778" cy="1409700"/>
    <xdr:sp macro="" textlink="">
      <xdr:nvSpPr>
        <xdr:cNvPr id="2" name="5 Rectángulo">
          <a:extLst>
            <a:ext uri="{FF2B5EF4-FFF2-40B4-BE49-F238E27FC236}">
              <a16:creationId xmlns:a16="http://schemas.microsoft.com/office/drawing/2014/main" id="{A860C5E8-23FA-4839-AF67-B1649376C893}"/>
            </a:ext>
          </a:extLst>
        </xdr:cNvPr>
        <xdr:cNvSpPr>
          <a:spLocks noChangeArrowheads="1"/>
        </xdr:cNvSpPr>
      </xdr:nvSpPr>
      <xdr:spPr bwMode="auto">
        <a:xfrm>
          <a:off x="13171331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3" name="6 Rectángulo">
          <a:extLst>
            <a:ext uri="{FF2B5EF4-FFF2-40B4-BE49-F238E27FC236}">
              <a16:creationId xmlns:a16="http://schemas.microsoft.com/office/drawing/2014/main" id="{37E8727F-B718-49E6-AC65-3151592DB482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4" name="7 Rectángulo">
          <a:extLst>
            <a:ext uri="{FF2B5EF4-FFF2-40B4-BE49-F238E27FC236}">
              <a16:creationId xmlns:a16="http://schemas.microsoft.com/office/drawing/2014/main" id="{02165B2B-EF86-4A1A-AD0E-AB9F8846CB45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A4A0D62A-EAB5-4E78-BA4E-593E7835C85B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6" name="9 Rectángulo">
          <a:extLst>
            <a:ext uri="{FF2B5EF4-FFF2-40B4-BE49-F238E27FC236}">
              <a16:creationId xmlns:a16="http://schemas.microsoft.com/office/drawing/2014/main" id="{B695E1F0-3B1A-43CA-AB3C-9AD2EE99EFEF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7" name="10 Rectángulo">
          <a:extLst>
            <a:ext uri="{FF2B5EF4-FFF2-40B4-BE49-F238E27FC236}">
              <a16:creationId xmlns:a16="http://schemas.microsoft.com/office/drawing/2014/main" id="{7E47B795-B35F-4B9F-B550-E1BA184E5C1B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8" name="11 Rectángulo">
          <a:extLst>
            <a:ext uri="{FF2B5EF4-FFF2-40B4-BE49-F238E27FC236}">
              <a16:creationId xmlns:a16="http://schemas.microsoft.com/office/drawing/2014/main" id="{13604995-EBF3-4B48-9304-A3CE953A2C6C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9" name="12 Rectángulo">
          <a:extLst>
            <a:ext uri="{FF2B5EF4-FFF2-40B4-BE49-F238E27FC236}">
              <a16:creationId xmlns:a16="http://schemas.microsoft.com/office/drawing/2014/main" id="{0A0E2B05-166C-4F65-9770-025B7D0E0E4E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10" name="13 Rectángulo">
          <a:extLst>
            <a:ext uri="{FF2B5EF4-FFF2-40B4-BE49-F238E27FC236}">
              <a16:creationId xmlns:a16="http://schemas.microsoft.com/office/drawing/2014/main" id="{5F676C11-60A1-4ECE-87D9-223B180968FE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11" name="14 Rectángulo">
          <a:extLst>
            <a:ext uri="{FF2B5EF4-FFF2-40B4-BE49-F238E27FC236}">
              <a16:creationId xmlns:a16="http://schemas.microsoft.com/office/drawing/2014/main" id="{D1D86297-12E2-4814-91CB-D9D878D55250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12" name="15 Rectángulo">
          <a:extLst>
            <a:ext uri="{FF2B5EF4-FFF2-40B4-BE49-F238E27FC236}">
              <a16:creationId xmlns:a16="http://schemas.microsoft.com/office/drawing/2014/main" id="{3F4160D2-46D0-4C84-937A-7461CA8FDA0D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13" name="16 Rectángulo">
          <a:extLst>
            <a:ext uri="{FF2B5EF4-FFF2-40B4-BE49-F238E27FC236}">
              <a16:creationId xmlns:a16="http://schemas.microsoft.com/office/drawing/2014/main" id="{27B4C896-98C7-44C8-806D-0C64892C0D7E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14" name="17 Rectángulo">
          <a:extLst>
            <a:ext uri="{FF2B5EF4-FFF2-40B4-BE49-F238E27FC236}">
              <a16:creationId xmlns:a16="http://schemas.microsoft.com/office/drawing/2014/main" id="{B80C873D-6910-42E1-9008-8B3FA3E0EB86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15" name="18 Rectángulo">
          <a:extLst>
            <a:ext uri="{FF2B5EF4-FFF2-40B4-BE49-F238E27FC236}">
              <a16:creationId xmlns:a16="http://schemas.microsoft.com/office/drawing/2014/main" id="{14C303A7-95AC-4A85-8A46-7E143E09F498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16" name="19 Rectángulo">
          <a:extLst>
            <a:ext uri="{FF2B5EF4-FFF2-40B4-BE49-F238E27FC236}">
              <a16:creationId xmlns:a16="http://schemas.microsoft.com/office/drawing/2014/main" id="{98DBF55B-C529-4BD3-B747-C00D0D0C754D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17" name="20 Rectángulo">
          <a:extLst>
            <a:ext uri="{FF2B5EF4-FFF2-40B4-BE49-F238E27FC236}">
              <a16:creationId xmlns:a16="http://schemas.microsoft.com/office/drawing/2014/main" id="{7CD3904A-DFD2-4254-ADE0-98C4C2FA2D95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18" name="21 Rectángulo">
          <a:extLst>
            <a:ext uri="{FF2B5EF4-FFF2-40B4-BE49-F238E27FC236}">
              <a16:creationId xmlns:a16="http://schemas.microsoft.com/office/drawing/2014/main" id="{5C03FD51-79DB-45CD-8F96-1CAEE8B52758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19" name="22 Rectángulo">
          <a:extLst>
            <a:ext uri="{FF2B5EF4-FFF2-40B4-BE49-F238E27FC236}">
              <a16:creationId xmlns:a16="http://schemas.microsoft.com/office/drawing/2014/main" id="{61507F3C-D131-4FC8-9EA8-5CA0B46BE722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20" name="23 Rectángulo">
          <a:extLst>
            <a:ext uri="{FF2B5EF4-FFF2-40B4-BE49-F238E27FC236}">
              <a16:creationId xmlns:a16="http://schemas.microsoft.com/office/drawing/2014/main" id="{A02E0706-E016-424C-985F-61B6CF15F740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21" name="24 Rectángulo">
          <a:extLst>
            <a:ext uri="{FF2B5EF4-FFF2-40B4-BE49-F238E27FC236}">
              <a16:creationId xmlns:a16="http://schemas.microsoft.com/office/drawing/2014/main" id="{4F5AE023-C31F-4917-AEF7-7DF469379DCF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22" name="25 Rectángulo">
          <a:extLst>
            <a:ext uri="{FF2B5EF4-FFF2-40B4-BE49-F238E27FC236}">
              <a16:creationId xmlns:a16="http://schemas.microsoft.com/office/drawing/2014/main" id="{9FDE9EDA-6FBB-47F8-91CF-79061559FD3A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23" name="26 Rectángulo">
          <a:extLst>
            <a:ext uri="{FF2B5EF4-FFF2-40B4-BE49-F238E27FC236}">
              <a16:creationId xmlns:a16="http://schemas.microsoft.com/office/drawing/2014/main" id="{40C34131-3D16-426B-8A52-2C3C47947316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24" name="27 Rectángulo">
          <a:extLst>
            <a:ext uri="{FF2B5EF4-FFF2-40B4-BE49-F238E27FC236}">
              <a16:creationId xmlns:a16="http://schemas.microsoft.com/office/drawing/2014/main" id="{5F217395-41C3-440A-A9BB-9340D6F8A448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25" name="28 Rectángulo">
          <a:extLst>
            <a:ext uri="{FF2B5EF4-FFF2-40B4-BE49-F238E27FC236}">
              <a16:creationId xmlns:a16="http://schemas.microsoft.com/office/drawing/2014/main" id="{8D47489E-D368-4E08-A35B-A6C6514158E4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26" name="29 Rectángulo">
          <a:extLst>
            <a:ext uri="{FF2B5EF4-FFF2-40B4-BE49-F238E27FC236}">
              <a16:creationId xmlns:a16="http://schemas.microsoft.com/office/drawing/2014/main" id="{B0AD34B2-BB05-4038-BEAE-A831B7DAC73F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27" name="30 Rectángulo">
          <a:extLst>
            <a:ext uri="{FF2B5EF4-FFF2-40B4-BE49-F238E27FC236}">
              <a16:creationId xmlns:a16="http://schemas.microsoft.com/office/drawing/2014/main" id="{DAB478C5-645B-4642-8379-DD0403165A9A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28" name="31 Rectángulo">
          <a:extLst>
            <a:ext uri="{FF2B5EF4-FFF2-40B4-BE49-F238E27FC236}">
              <a16:creationId xmlns:a16="http://schemas.microsoft.com/office/drawing/2014/main" id="{94AED7C1-FD92-452A-8F86-EBA12CA3C49A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29" name="32 Rectángulo">
          <a:extLst>
            <a:ext uri="{FF2B5EF4-FFF2-40B4-BE49-F238E27FC236}">
              <a16:creationId xmlns:a16="http://schemas.microsoft.com/office/drawing/2014/main" id="{D002C414-FBCD-4870-A8D8-6D39210061F3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30" name="33 Rectángulo">
          <a:extLst>
            <a:ext uri="{FF2B5EF4-FFF2-40B4-BE49-F238E27FC236}">
              <a16:creationId xmlns:a16="http://schemas.microsoft.com/office/drawing/2014/main" id="{904A4580-B6F1-445B-85BD-DA2EB45064FC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31" name="34 Rectángulo">
          <a:extLst>
            <a:ext uri="{FF2B5EF4-FFF2-40B4-BE49-F238E27FC236}">
              <a16:creationId xmlns:a16="http://schemas.microsoft.com/office/drawing/2014/main" id="{4EF96977-1976-4F5A-9C4D-C1BC7E0994A0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32" name="35 Rectángulo">
          <a:extLst>
            <a:ext uri="{FF2B5EF4-FFF2-40B4-BE49-F238E27FC236}">
              <a16:creationId xmlns:a16="http://schemas.microsoft.com/office/drawing/2014/main" id="{AF02DEC5-2E21-4C56-84CA-8FE99FE8FEF4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33" name="36 Rectángulo">
          <a:extLst>
            <a:ext uri="{FF2B5EF4-FFF2-40B4-BE49-F238E27FC236}">
              <a16:creationId xmlns:a16="http://schemas.microsoft.com/office/drawing/2014/main" id="{76E80DC8-FCAF-4029-9868-33C5A2E031DA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34" name="37 Rectángulo">
          <a:extLst>
            <a:ext uri="{FF2B5EF4-FFF2-40B4-BE49-F238E27FC236}">
              <a16:creationId xmlns:a16="http://schemas.microsoft.com/office/drawing/2014/main" id="{C5319BA8-9A90-4197-BDEE-F494724EBB50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35" name="38 Rectángulo">
          <a:extLst>
            <a:ext uri="{FF2B5EF4-FFF2-40B4-BE49-F238E27FC236}">
              <a16:creationId xmlns:a16="http://schemas.microsoft.com/office/drawing/2014/main" id="{A6E475A2-028A-4838-BAD1-1B301AA87ECC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36" name="39 Rectángulo">
          <a:extLst>
            <a:ext uri="{FF2B5EF4-FFF2-40B4-BE49-F238E27FC236}">
              <a16:creationId xmlns:a16="http://schemas.microsoft.com/office/drawing/2014/main" id="{B5FCCC60-B181-4E88-8C28-F830A877EBCD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37" name="40 Rectángulo">
          <a:extLst>
            <a:ext uri="{FF2B5EF4-FFF2-40B4-BE49-F238E27FC236}">
              <a16:creationId xmlns:a16="http://schemas.microsoft.com/office/drawing/2014/main" id="{E11D7A48-7FA4-42CA-A1B0-F41C5157A401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38" name="41 Rectángulo">
          <a:extLst>
            <a:ext uri="{FF2B5EF4-FFF2-40B4-BE49-F238E27FC236}">
              <a16:creationId xmlns:a16="http://schemas.microsoft.com/office/drawing/2014/main" id="{97EA180C-DD9C-4655-A27E-7756E1D96A2C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39" name="42 Rectángulo">
          <a:extLst>
            <a:ext uri="{FF2B5EF4-FFF2-40B4-BE49-F238E27FC236}">
              <a16:creationId xmlns:a16="http://schemas.microsoft.com/office/drawing/2014/main" id="{6A4AC795-9033-49AA-8E0A-3F33832D8808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40" name="43 Rectángulo">
          <a:extLst>
            <a:ext uri="{FF2B5EF4-FFF2-40B4-BE49-F238E27FC236}">
              <a16:creationId xmlns:a16="http://schemas.microsoft.com/office/drawing/2014/main" id="{784AF8FC-FDE9-4678-8DCD-FDF45AF8086C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41" name="44 Rectángulo">
          <a:extLst>
            <a:ext uri="{FF2B5EF4-FFF2-40B4-BE49-F238E27FC236}">
              <a16:creationId xmlns:a16="http://schemas.microsoft.com/office/drawing/2014/main" id="{2E35B476-E897-4446-93E6-83F0D4DE4CCC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42" name="45 Rectángulo">
          <a:extLst>
            <a:ext uri="{FF2B5EF4-FFF2-40B4-BE49-F238E27FC236}">
              <a16:creationId xmlns:a16="http://schemas.microsoft.com/office/drawing/2014/main" id="{FBB9A796-423A-4008-817C-40C3FE76A1EC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43" name="46 Rectángulo">
          <a:extLst>
            <a:ext uri="{FF2B5EF4-FFF2-40B4-BE49-F238E27FC236}">
              <a16:creationId xmlns:a16="http://schemas.microsoft.com/office/drawing/2014/main" id="{CDE71CC9-A995-4221-A5F8-E51A7E1E01D4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44" name="47 Rectángulo">
          <a:extLst>
            <a:ext uri="{FF2B5EF4-FFF2-40B4-BE49-F238E27FC236}">
              <a16:creationId xmlns:a16="http://schemas.microsoft.com/office/drawing/2014/main" id="{01751434-7D84-492E-BCDF-445FC35D0D56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45" name="48 Rectángulo">
          <a:extLst>
            <a:ext uri="{FF2B5EF4-FFF2-40B4-BE49-F238E27FC236}">
              <a16:creationId xmlns:a16="http://schemas.microsoft.com/office/drawing/2014/main" id="{95C3B05E-3E35-4B9B-89D3-49564D30248B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46" name="49 Rectángulo">
          <a:extLst>
            <a:ext uri="{FF2B5EF4-FFF2-40B4-BE49-F238E27FC236}">
              <a16:creationId xmlns:a16="http://schemas.microsoft.com/office/drawing/2014/main" id="{18CAB535-A788-4552-9E31-C40B6AF8A442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47" name="50 Rectángulo">
          <a:extLst>
            <a:ext uri="{FF2B5EF4-FFF2-40B4-BE49-F238E27FC236}">
              <a16:creationId xmlns:a16="http://schemas.microsoft.com/office/drawing/2014/main" id="{62C37243-A560-4945-861A-9DB8F47BD139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48" name="51 Rectángulo">
          <a:extLst>
            <a:ext uri="{FF2B5EF4-FFF2-40B4-BE49-F238E27FC236}">
              <a16:creationId xmlns:a16="http://schemas.microsoft.com/office/drawing/2014/main" id="{D924E0F2-1D14-49CC-9D92-1226F1598919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49" name="52 Rectángulo">
          <a:extLst>
            <a:ext uri="{FF2B5EF4-FFF2-40B4-BE49-F238E27FC236}">
              <a16:creationId xmlns:a16="http://schemas.microsoft.com/office/drawing/2014/main" id="{9082EE67-F67A-421D-BD0E-BADCEBF71F61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50" name="53 Rectángulo">
          <a:extLst>
            <a:ext uri="{FF2B5EF4-FFF2-40B4-BE49-F238E27FC236}">
              <a16:creationId xmlns:a16="http://schemas.microsoft.com/office/drawing/2014/main" id="{CAA104BD-7AC0-4F88-9D4E-1A44C7ED8856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51" name="54 Rectángulo">
          <a:extLst>
            <a:ext uri="{FF2B5EF4-FFF2-40B4-BE49-F238E27FC236}">
              <a16:creationId xmlns:a16="http://schemas.microsoft.com/office/drawing/2014/main" id="{4D308209-A78A-43D2-BE9E-12A6743550D1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52" name="55 Rectángulo">
          <a:extLst>
            <a:ext uri="{FF2B5EF4-FFF2-40B4-BE49-F238E27FC236}">
              <a16:creationId xmlns:a16="http://schemas.microsoft.com/office/drawing/2014/main" id="{D8FA4E5B-55E9-45AF-A75D-9725738E7725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53" name="56 Rectángulo">
          <a:extLst>
            <a:ext uri="{FF2B5EF4-FFF2-40B4-BE49-F238E27FC236}">
              <a16:creationId xmlns:a16="http://schemas.microsoft.com/office/drawing/2014/main" id="{59841B2D-FF51-4E66-9C57-FCE2DCE9B6CF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54" name="57 Rectángulo">
          <a:extLst>
            <a:ext uri="{FF2B5EF4-FFF2-40B4-BE49-F238E27FC236}">
              <a16:creationId xmlns:a16="http://schemas.microsoft.com/office/drawing/2014/main" id="{45C143C2-3879-4B03-8509-54504CC2CFBF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55" name="58 Rectángulo">
          <a:extLst>
            <a:ext uri="{FF2B5EF4-FFF2-40B4-BE49-F238E27FC236}">
              <a16:creationId xmlns:a16="http://schemas.microsoft.com/office/drawing/2014/main" id="{D1C29645-EAF0-4036-B3FD-364198F5B31E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56" name="59 Rectángulo">
          <a:extLst>
            <a:ext uri="{FF2B5EF4-FFF2-40B4-BE49-F238E27FC236}">
              <a16:creationId xmlns:a16="http://schemas.microsoft.com/office/drawing/2014/main" id="{4B27F1E1-A985-4956-9D7E-7A86D9FD4EFF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57" name="60 Rectángulo">
          <a:extLst>
            <a:ext uri="{FF2B5EF4-FFF2-40B4-BE49-F238E27FC236}">
              <a16:creationId xmlns:a16="http://schemas.microsoft.com/office/drawing/2014/main" id="{A5C4D541-4A14-41EE-8083-4FCB88ED4059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58" name="61 Rectángulo">
          <a:extLst>
            <a:ext uri="{FF2B5EF4-FFF2-40B4-BE49-F238E27FC236}">
              <a16:creationId xmlns:a16="http://schemas.microsoft.com/office/drawing/2014/main" id="{BD3535A5-8322-44D5-B985-AC60045278BC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59" name="62 Rectángulo">
          <a:extLst>
            <a:ext uri="{FF2B5EF4-FFF2-40B4-BE49-F238E27FC236}">
              <a16:creationId xmlns:a16="http://schemas.microsoft.com/office/drawing/2014/main" id="{A53CDF4B-E98A-4EAF-883E-EC8D076E5064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60" name="63 Rectángulo">
          <a:extLst>
            <a:ext uri="{FF2B5EF4-FFF2-40B4-BE49-F238E27FC236}">
              <a16:creationId xmlns:a16="http://schemas.microsoft.com/office/drawing/2014/main" id="{B02CB3B7-C2FC-4EAE-A9F6-9775C57B2A33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61" name="64 Rectángulo">
          <a:extLst>
            <a:ext uri="{FF2B5EF4-FFF2-40B4-BE49-F238E27FC236}">
              <a16:creationId xmlns:a16="http://schemas.microsoft.com/office/drawing/2014/main" id="{3EA50D60-EA6F-4C5B-AA41-A0D5D9917FB6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62" name="65 Rectángulo">
          <a:extLst>
            <a:ext uri="{FF2B5EF4-FFF2-40B4-BE49-F238E27FC236}">
              <a16:creationId xmlns:a16="http://schemas.microsoft.com/office/drawing/2014/main" id="{388771EB-9896-4B14-BFED-16FF4FA3DADE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63" name="66 Rectángulo">
          <a:extLst>
            <a:ext uri="{FF2B5EF4-FFF2-40B4-BE49-F238E27FC236}">
              <a16:creationId xmlns:a16="http://schemas.microsoft.com/office/drawing/2014/main" id="{45347355-3221-4359-AA22-1CF4177387C0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64" name="67 Rectángulo">
          <a:extLst>
            <a:ext uri="{FF2B5EF4-FFF2-40B4-BE49-F238E27FC236}">
              <a16:creationId xmlns:a16="http://schemas.microsoft.com/office/drawing/2014/main" id="{C1752038-E6C6-4D49-B960-8E841D2FA363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65" name="68 Rectángulo">
          <a:extLst>
            <a:ext uri="{FF2B5EF4-FFF2-40B4-BE49-F238E27FC236}">
              <a16:creationId xmlns:a16="http://schemas.microsoft.com/office/drawing/2014/main" id="{81A1FC26-A20C-45C0-8CCB-9F10B0535FA0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66" name="69 Rectángulo">
          <a:extLst>
            <a:ext uri="{FF2B5EF4-FFF2-40B4-BE49-F238E27FC236}">
              <a16:creationId xmlns:a16="http://schemas.microsoft.com/office/drawing/2014/main" id="{89E948C7-1FD5-4380-8A7C-E99E7BCCE22C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67" name="70 Rectángulo">
          <a:extLst>
            <a:ext uri="{FF2B5EF4-FFF2-40B4-BE49-F238E27FC236}">
              <a16:creationId xmlns:a16="http://schemas.microsoft.com/office/drawing/2014/main" id="{87908A03-F2AC-4CA5-AF94-5BD392A96EA5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9" cy="1409700"/>
    <xdr:sp macro="" textlink="">
      <xdr:nvSpPr>
        <xdr:cNvPr id="68" name="71 Rectángulo">
          <a:extLst>
            <a:ext uri="{FF2B5EF4-FFF2-40B4-BE49-F238E27FC236}">
              <a16:creationId xmlns:a16="http://schemas.microsoft.com/office/drawing/2014/main" id="{8FA99010-2DF9-497D-AABB-01418CBA2961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69" name="72 Rectángulo">
          <a:extLst>
            <a:ext uri="{FF2B5EF4-FFF2-40B4-BE49-F238E27FC236}">
              <a16:creationId xmlns:a16="http://schemas.microsoft.com/office/drawing/2014/main" id="{FCCD47D1-35E3-4B84-BA72-C9DD7C9E8E19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70" name="73 Rectángulo">
          <a:extLst>
            <a:ext uri="{FF2B5EF4-FFF2-40B4-BE49-F238E27FC236}">
              <a16:creationId xmlns:a16="http://schemas.microsoft.com/office/drawing/2014/main" id="{7AE53C78-4CFF-4484-9756-BEC8039446A1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71" name="74 Rectángulo">
          <a:extLst>
            <a:ext uri="{FF2B5EF4-FFF2-40B4-BE49-F238E27FC236}">
              <a16:creationId xmlns:a16="http://schemas.microsoft.com/office/drawing/2014/main" id="{96BEF6F7-41B6-4CF1-BEF6-6E812F6C8687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72" name="75 Rectángulo">
          <a:extLst>
            <a:ext uri="{FF2B5EF4-FFF2-40B4-BE49-F238E27FC236}">
              <a16:creationId xmlns:a16="http://schemas.microsoft.com/office/drawing/2014/main" id="{2EB27C0A-9260-4EA1-80F3-874C4FCD24D1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73" name="76 Rectángulo">
          <a:extLst>
            <a:ext uri="{FF2B5EF4-FFF2-40B4-BE49-F238E27FC236}">
              <a16:creationId xmlns:a16="http://schemas.microsoft.com/office/drawing/2014/main" id="{2E86BE12-BE55-4BB5-886D-05D66DE6FA9D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43</xdr:row>
      <xdr:rowOff>0</xdr:rowOff>
    </xdr:from>
    <xdr:ext cx="5521778" cy="1409700"/>
    <xdr:sp macro="" textlink="">
      <xdr:nvSpPr>
        <xdr:cNvPr id="74" name="77 Rectángulo">
          <a:extLst>
            <a:ext uri="{FF2B5EF4-FFF2-40B4-BE49-F238E27FC236}">
              <a16:creationId xmlns:a16="http://schemas.microsoft.com/office/drawing/2014/main" id="{622D70B0-BABC-49DC-AC9B-037AF3AE867F}"/>
            </a:ext>
          </a:extLst>
        </xdr:cNvPr>
        <xdr:cNvSpPr>
          <a:spLocks noChangeArrowheads="1"/>
        </xdr:cNvSpPr>
      </xdr:nvSpPr>
      <xdr:spPr bwMode="auto">
        <a:xfrm>
          <a:off x="13144500" y="8096250"/>
          <a:ext cx="5521778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66675</xdr:colOff>
      <xdr:row>48</xdr:row>
      <xdr:rowOff>0</xdr:rowOff>
    </xdr:from>
    <xdr:ext cx="5521779" cy="1409700"/>
    <xdr:sp macro="" textlink="">
      <xdr:nvSpPr>
        <xdr:cNvPr id="79" name="82 Rectángulo">
          <a:extLst>
            <a:ext uri="{FF2B5EF4-FFF2-40B4-BE49-F238E27FC236}">
              <a16:creationId xmlns:a16="http://schemas.microsoft.com/office/drawing/2014/main" id="{AC5EA128-81F8-4320-AB29-59D78A510628}"/>
            </a:ext>
          </a:extLst>
        </xdr:cNvPr>
        <xdr:cNvSpPr>
          <a:spLocks noChangeArrowheads="1"/>
        </xdr:cNvSpPr>
      </xdr:nvSpPr>
      <xdr:spPr bwMode="auto">
        <a:xfrm>
          <a:off x="13211175" y="904875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133350</xdr:colOff>
      <xdr:row>52</xdr:row>
      <xdr:rowOff>19050</xdr:rowOff>
    </xdr:from>
    <xdr:ext cx="5521779" cy="1409700"/>
    <xdr:sp macro="" textlink="">
      <xdr:nvSpPr>
        <xdr:cNvPr id="80" name="83 Rectángulo">
          <a:extLst>
            <a:ext uri="{FF2B5EF4-FFF2-40B4-BE49-F238E27FC236}">
              <a16:creationId xmlns:a16="http://schemas.microsoft.com/office/drawing/2014/main" id="{E93457A2-8F74-4641-9AF7-CF70CE5DDBD5}"/>
            </a:ext>
          </a:extLst>
        </xdr:cNvPr>
        <xdr:cNvSpPr>
          <a:spLocks noChangeArrowheads="1"/>
        </xdr:cNvSpPr>
      </xdr:nvSpPr>
      <xdr:spPr bwMode="auto">
        <a:xfrm>
          <a:off x="24612600" y="9829800"/>
          <a:ext cx="5521779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VE"/>
        </a:p>
      </xdr:txBody>
    </xdr:sp>
    <xdr:clientData/>
  </xdr:oneCellAnchor>
  <xdr:twoCellAnchor>
    <xdr:from>
      <xdr:col>17</xdr:col>
      <xdr:colOff>269875</xdr:colOff>
      <xdr:row>0</xdr:row>
      <xdr:rowOff>104776</xdr:rowOff>
    </xdr:from>
    <xdr:to>
      <xdr:col>17</xdr:col>
      <xdr:colOff>666750</xdr:colOff>
      <xdr:row>2</xdr:row>
      <xdr:rowOff>15876</xdr:rowOff>
    </xdr:to>
    <xdr:sp macro="" textlink="">
      <xdr:nvSpPr>
        <xdr:cNvPr id="81" name="Flecha: hacia abajo 80">
          <a:extLst>
            <a:ext uri="{FF2B5EF4-FFF2-40B4-BE49-F238E27FC236}">
              <a16:creationId xmlns:a16="http://schemas.microsoft.com/office/drawing/2014/main" id="{4643A510-B0D1-4A1C-81F8-F43268DB838F}"/>
            </a:ext>
          </a:extLst>
        </xdr:cNvPr>
        <xdr:cNvSpPr/>
      </xdr:nvSpPr>
      <xdr:spPr>
        <a:xfrm>
          <a:off x="14938375" y="104776"/>
          <a:ext cx="396875" cy="3111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29</xdr:col>
      <xdr:colOff>269875</xdr:colOff>
      <xdr:row>0</xdr:row>
      <xdr:rowOff>104776</xdr:rowOff>
    </xdr:from>
    <xdr:to>
      <xdr:col>29</xdr:col>
      <xdr:colOff>666750</xdr:colOff>
      <xdr:row>2</xdr:row>
      <xdr:rowOff>15876</xdr:rowOff>
    </xdr:to>
    <xdr:sp macro="" textlink="">
      <xdr:nvSpPr>
        <xdr:cNvPr id="82" name="Flecha: hacia abajo 81">
          <a:extLst>
            <a:ext uri="{FF2B5EF4-FFF2-40B4-BE49-F238E27FC236}">
              <a16:creationId xmlns:a16="http://schemas.microsoft.com/office/drawing/2014/main" id="{772F8DFB-2CF1-40DE-B483-D7DCFB3451EC}"/>
            </a:ext>
          </a:extLst>
        </xdr:cNvPr>
        <xdr:cNvSpPr/>
      </xdr:nvSpPr>
      <xdr:spPr>
        <a:xfrm>
          <a:off x="24749125" y="104776"/>
          <a:ext cx="396875" cy="3111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269875</xdr:colOff>
      <xdr:row>0</xdr:row>
      <xdr:rowOff>104776</xdr:rowOff>
    </xdr:from>
    <xdr:to>
      <xdr:col>17</xdr:col>
      <xdr:colOff>666750</xdr:colOff>
      <xdr:row>2</xdr:row>
      <xdr:rowOff>15876</xdr:rowOff>
    </xdr:to>
    <xdr:sp macro="" textlink="">
      <xdr:nvSpPr>
        <xdr:cNvPr id="6" name="Flecha: hacia abajo 5">
          <a:extLst>
            <a:ext uri="{FF2B5EF4-FFF2-40B4-BE49-F238E27FC236}">
              <a16:creationId xmlns:a16="http://schemas.microsoft.com/office/drawing/2014/main" id="{17D92319-E936-4F18-BD3A-08C76BD4E64F}"/>
            </a:ext>
          </a:extLst>
        </xdr:cNvPr>
        <xdr:cNvSpPr/>
      </xdr:nvSpPr>
      <xdr:spPr>
        <a:xfrm>
          <a:off x="14709775" y="104776"/>
          <a:ext cx="396875" cy="3111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28</xdr:col>
      <xdr:colOff>269875</xdr:colOff>
      <xdr:row>0</xdr:row>
      <xdr:rowOff>104776</xdr:rowOff>
    </xdr:from>
    <xdr:to>
      <xdr:col>28</xdr:col>
      <xdr:colOff>666750</xdr:colOff>
      <xdr:row>2</xdr:row>
      <xdr:rowOff>15876</xdr:rowOff>
    </xdr:to>
    <xdr:sp macro="" textlink="">
      <xdr:nvSpPr>
        <xdr:cNvPr id="7" name="Flecha: hacia abajo 6">
          <a:extLst>
            <a:ext uri="{FF2B5EF4-FFF2-40B4-BE49-F238E27FC236}">
              <a16:creationId xmlns:a16="http://schemas.microsoft.com/office/drawing/2014/main" id="{03A69204-FBA8-41D3-8808-98C4EFAB7FCE}"/>
            </a:ext>
          </a:extLst>
        </xdr:cNvPr>
        <xdr:cNvSpPr/>
      </xdr:nvSpPr>
      <xdr:spPr>
        <a:xfrm>
          <a:off x="24787225" y="104776"/>
          <a:ext cx="396875" cy="3111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5"/>
  <sheetViews>
    <sheetView topLeftCell="O1" workbookViewId="0">
      <selection activeCell="T8" sqref="T8"/>
    </sheetView>
  </sheetViews>
  <sheetFormatPr baseColWidth="10" defaultRowHeight="15" x14ac:dyDescent="0.25"/>
  <cols>
    <col min="1" max="1" width="11.7109375" bestFit="1" customWidth="1"/>
    <col min="2" max="2" width="29.7109375" customWidth="1"/>
    <col min="3" max="3" width="20.5703125" customWidth="1"/>
    <col min="4" max="4" width="21.140625" customWidth="1"/>
    <col min="5" max="5" width="13.28515625" bestFit="1" customWidth="1"/>
    <col min="6" max="8" width="11.7109375" bestFit="1" customWidth="1"/>
    <col min="10" max="14" width="11.7109375" bestFit="1" customWidth="1"/>
    <col min="15" max="16" width="13.28515625" bestFit="1" customWidth="1"/>
    <col min="17" max="17" width="16.85546875" bestFit="1" customWidth="1"/>
    <col min="18" max="18" width="20" customWidth="1"/>
    <col min="19" max="19" width="19.28515625" customWidth="1"/>
    <col min="20" max="21" width="15.140625" bestFit="1" customWidth="1"/>
    <col min="22" max="25" width="11.7109375" bestFit="1" customWidth="1"/>
    <col min="26" max="26" width="17.5703125" customWidth="1"/>
    <col min="27" max="27" width="11.7109375" bestFit="1" customWidth="1"/>
    <col min="28" max="28" width="14.85546875" customWidth="1"/>
    <col min="29" max="29" width="15.85546875" bestFit="1" customWidth="1"/>
  </cols>
  <sheetData>
    <row r="1" spans="1:31" ht="15.75" thickBot="1" x14ac:dyDescent="0.3"/>
    <row r="2" spans="1:31" ht="15.75" thickTop="1" x14ac:dyDescent="0.25">
      <c r="A2" s="6"/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9"/>
      <c r="O2" s="10"/>
      <c r="P2" s="11"/>
      <c r="Q2" s="11"/>
      <c r="R2" s="11"/>
      <c r="S2" s="11"/>
      <c r="T2" s="134">
        <f>130*5</f>
        <v>650</v>
      </c>
      <c r="U2" s="137">
        <f>130*5</f>
        <v>650</v>
      </c>
      <c r="V2" s="10"/>
      <c r="W2" s="10"/>
      <c r="X2" s="10"/>
      <c r="Y2" s="10"/>
      <c r="Z2" s="10"/>
      <c r="AA2" s="10"/>
      <c r="AB2" s="12"/>
      <c r="AC2" s="13"/>
      <c r="AD2" s="7"/>
      <c r="AE2" s="7"/>
    </row>
    <row r="3" spans="1:31" x14ac:dyDescent="0.25">
      <c r="A3" s="6"/>
      <c r="B3" s="14"/>
      <c r="C3" s="7"/>
      <c r="D3" s="7"/>
      <c r="E3" s="7"/>
      <c r="F3" s="15" t="s">
        <v>0</v>
      </c>
      <c r="G3" s="16"/>
      <c r="H3" s="17"/>
      <c r="I3" s="16"/>
      <c r="J3" s="15"/>
      <c r="K3" s="8"/>
      <c r="L3" s="8"/>
      <c r="M3" s="8"/>
      <c r="N3" s="9"/>
      <c r="O3" s="10"/>
      <c r="P3" s="11"/>
      <c r="Q3" s="11"/>
      <c r="R3" s="11" t="s">
        <v>1</v>
      </c>
      <c r="S3" s="11"/>
      <c r="T3" s="135"/>
      <c r="U3" s="138"/>
      <c r="V3" s="10"/>
      <c r="W3" s="10"/>
      <c r="X3" s="10"/>
      <c r="Y3" s="10"/>
      <c r="Z3" s="10"/>
      <c r="AA3" s="10"/>
      <c r="AB3" s="12"/>
      <c r="AC3" s="13"/>
      <c r="AD3" s="7"/>
      <c r="AE3" s="7"/>
    </row>
    <row r="4" spans="1:31" ht="15.75" thickBot="1" x14ac:dyDescent="0.3">
      <c r="A4" s="18"/>
      <c r="B4" s="19"/>
      <c r="C4" s="20"/>
      <c r="D4" s="21"/>
      <c r="E4" s="10"/>
      <c r="F4" s="21"/>
      <c r="G4" s="21"/>
      <c r="H4" s="21"/>
      <c r="I4" s="10"/>
      <c r="J4" s="140"/>
      <c r="K4" s="140"/>
      <c r="L4" s="140"/>
      <c r="M4" s="140"/>
      <c r="N4" s="140"/>
      <c r="O4" s="140"/>
      <c r="P4" s="11"/>
      <c r="Q4" s="22">
        <v>90</v>
      </c>
      <c r="R4" s="22">
        <v>40</v>
      </c>
      <c r="S4" s="11"/>
      <c r="T4" s="136"/>
      <c r="U4" s="139"/>
      <c r="V4" s="10"/>
      <c r="W4" s="10"/>
      <c r="X4" s="10"/>
      <c r="Y4" s="10"/>
      <c r="Z4" s="10"/>
      <c r="AA4" s="10"/>
      <c r="AB4" s="10"/>
      <c r="AC4" s="23"/>
      <c r="AD4" s="7"/>
      <c r="AE4" s="7"/>
    </row>
    <row r="5" spans="1:31" ht="16.5" thickTop="1" thickBot="1" x14ac:dyDescent="0.3">
      <c r="A5" s="20"/>
      <c r="B5" s="19" t="s">
        <v>2</v>
      </c>
      <c r="C5" s="20"/>
      <c r="D5" s="21"/>
      <c r="E5" s="10"/>
      <c r="F5" s="21"/>
      <c r="G5" s="21"/>
      <c r="H5" s="21"/>
      <c r="I5" s="10"/>
      <c r="J5" s="10"/>
      <c r="K5" s="10"/>
      <c r="L5" s="10"/>
      <c r="M5" s="10"/>
      <c r="N5" s="10"/>
      <c r="O5" s="10"/>
      <c r="P5" s="24" t="s">
        <v>3</v>
      </c>
      <c r="Q5" s="25">
        <v>106</v>
      </c>
      <c r="R5" s="26">
        <v>96.86</v>
      </c>
      <c r="S5" s="11"/>
      <c r="T5" s="27">
        <v>5</v>
      </c>
      <c r="U5" s="27">
        <v>5</v>
      </c>
      <c r="V5" s="10"/>
      <c r="W5" s="10"/>
      <c r="X5" s="10"/>
      <c r="Y5" s="10"/>
      <c r="Z5" s="10"/>
      <c r="AA5" s="10"/>
      <c r="AB5" s="10"/>
      <c r="AC5" s="23"/>
      <c r="AD5" s="7"/>
      <c r="AE5" s="7"/>
    </row>
    <row r="6" spans="1:31" ht="45" x14ac:dyDescent="0.25">
      <c r="A6" s="141"/>
      <c r="B6" s="143" t="s">
        <v>4</v>
      </c>
      <c r="C6" s="143" t="s">
        <v>5</v>
      </c>
      <c r="D6" s="143" t="s">
        <v>6</v>
      </c>
      <c r="E6" s="144" t="s">
        <v>7</v>
      </c>
      <c r="F6" s="1" t="s">
        <v>8</v>
      </c>
      <c r="G6" s="2" t="s">
        <v>8</v>
      </c>
      <c r="H6" s="2" t="s">
        <v>9</v>
      </c>
      <c r="I6" s="143" t="s">
        <v>10</v>
      </c>
      <c r="J6" s="143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43" t="s">
        <v>16</v>
      </c>
      <c r="P6" s="148" t="s">
        <v>17</v>
      </c>
      <c r="Q6" s="148" t="s">
        <v>18</v>
      </c>
      <c r="R6" s="148" t="s">
        <v>19</v>
      </c>
      <c r="S6" s="149" t="s">
        <v>20</v>
      </c>
      <c r="T6" s="145" t="s">
        <v>21</v>
      </c>
      <c r="U6" s="145" t="s">
        <v>22</v>
      </c>
      <c r="V6" s="145" t="s">
        <v>23</v>
      </c>
      <c r="W6" s="3" t="s">
        <v>24</v>
      </c>
      <c r="X6" s="3" t="s">
        <v>25</v>
      </c>
      <c r="Y6" s="3" t="s">
        <v>26</v>
      </c>
      <c r="Z6" s="3" t="s">
        <v>27</v>
      </c>
      <c r="AA6" s="146" t="s">
        <v>28</v>
      </c>
      <c r="AB6" s="143" t="s">
        <v>29</v>
      </c>
      <c r="AC6" s="1" t="s">
        <v>30</v>
      </c>
      <c r="AD6" s="7"/>
      <c r="AE6" s="7"/>
    </row>
    <row r="7" spans="1:31" ht="15.75" thickBot="1" x14ac:dyDescent="0.3">
      <c r="A7" s="142"/>
      <c r="B7" s="143"/>
      <c r="C7" s="143"/>
      <c r="D7" s="143"/>
      <c r="E7" s="144"/>
      <c r="F7" s="1" t="s">
        <v>31</v>
      </c>
      <c r="G7" s="4" t="s">
        <v>32</v>
      </c>
      <c r="H7" s="4" t="s">
        <v>33</v>
      </c>
      <c r="I7" s="143"/>
      <c r="J7" s="143"/>
      <c r="K7" s="1" t="s">
        <v>34</v>
      </c>
      <c r="L7" s="1"/>
      <c r="M7" s="1" t="s">
        <v>35</v>
      </c>
      <c r="N7" s="1" t="s">
        <v>36</v>
      </c>
      <c r="O7" s="143"/>
      <c r="P7" s="149"/>
      <c r="Q7" s="149"/>
      <c r="R7" s="149"/>
      <c r="S7" s="149"/>
      <c r="T7" s="145"/>
      <c r="U7" s="145"/>
      <c r="V7" s="145"/>
      <c r="W7" s="5" t="s">
        <v>37</v>
      </c>
      <c r="X7" s="5" t="s">
        <v>37</v>
      </c>
      <c r="Y7" s="5"/>
      <c r="Z7" s="5"/>
      <c r="AA7" s="146"/>
      <c r="AB7" s="143"/>
      <c r="AC7" s="1" t="s">
        <v>38</v>
      </c>
      <c r="AD7" s="7"/>
      <c r="AE7" s="7"/>
    </row>
    <row r="8" spans="1:31" x14ac:dyDescent="0.25">
      <c r="A8" s="28">
        <v>1</v>
      </c>
      <c r="B8" s="29" t="s">
        <v>39</v>
      </c>
      <c r="C8" s="29" t="s">
        <v>40</v>
      </c>
      <c r="D8" s="29" t="s">
        <v>41</v>
      </c>
      <c r="E8" s="30">
        <v>130</v>
      </c>
      <c r="F8" s="31">
        <f>E8/30</f>
        <v>4.333333333333333</v>
      </c>
      <c r="G8" s="32">
        <f t="shared" ref="G8:G37" si="0">F8/8</f>
        <v>0.54166666666666663</v>
      </c>
      <c r="H8" s="32">
        <f t="shared" ref="H8:H37" si="1">E8*12/52</f>
        <v>30</v>
      </c>
      <c r="I8" s="33"/>
      <c r="J8" s="34">
        <v>30</v>
      </c>
      <c r="K8" s="35">
        <v>0</v>
      </c>
      <c r="L8" s="34">
        <f t="shared" ref="L8:L37" si="2">F8*1.5*0</f>
        <v>0</v>
      </c>
      <c r="M8" s="34">
        <v>0</v>
      </c>
      <c r="N8" s="34"/>
      <c r="O8" s="34">
        <f t="shared" ref="O8:O37" si="3">F8*J8</f>
        <v>130</v>
      </c>
      <c r="P8" s="36">
        <v>130</v>
      </c>
      <c r="Q8" s="36">
        <v>8717.4</v>
      </c>
      <c r="R8" s="37">
        <v>3874.4</v>
      </c>
      <c r="S8" s="36">
        <f>+P8+Q8+R8</f>
        <v>12721.8</v>
      </c>
      <c r="T8" s="38">
        <f>E8*12/52*4%*5</f>
        <v>6</v>
      </c>
      <c r="U8" s="38">
        <f>E8*12/52*0.5%*5</f>
        <v>0.75</v>
      </c>
      <c r="V8" s="38">
        <f>P8*1%</f>
        <v>1.3</v>
      </c>
      <c r="W8" s="39">
        <v>0</v>
      </c>
      <c r="X8" s="38">
        <f t="shared" ref="X8:X40" si="4">E8*W8</f>
        <v>0</v>
      </c>
      <c r="Y8" s="38">
        <v>0</v>
      </c>
      <c r="Z8" s="38">
        <v>0</v>
      </c>
      <c r="AA8" s="38">
        <v>0</v>
      </c>
      <c r="AB8" s="40">
        <f>T8+U8+V8</f>
        <v>8.0500000000000007</v>
      </c>
      <c r="AC8" s="41">
        <f>+O8-AB8</f>
        <v>121.95</v>
      </c>
      <c r="AD8" s="42"/>
      <c r="AE8" s="42"/>
    </row>
    <row r="9" spans="1:31" x14ac:dyDescent="0.25">
      <c r="A9" s="28">
        <v>2</v>
      </c>
      <c r="B9" s="29" t="s">
        <v>42</v>
      </c>
      <c r="C9" s="29" t="s">
        <v>43</v>
      </c>
      <c r="D9" s="29" t="s">
        <v>44</v>
      </c>
      <c r="E9" s="30">
        <v>130</v>
      </c>
      <c r="F9" s="31">
        <f t="shared" ref="F9:F37" si="5">E9/30</f>
        <v>4.333333333333333</v>
      </c>
      <c r="G9" s="32">
        <f t="shared" si="0"/>
        <v>0.54166666666666663</v>
      </c>
      <c r="H9" s="32">
        <f t="shared" si="1"/>
        <v>30</v>
      </c>
      <c r="I9" s="33"/>
      <c r="J9" s="34">
        <v>30</v>
      </c>
      <c r="K9" s="35">
        <v>0</v>
      </c>
      <c r="L9" s="34">
        <f t="shared" si="2"/>
        <v>0</v>
      </c>
      <c r="M9" s="34">
        <v>0</v>
      </c>
      <c r="N9" s="34"/>
      <c r="O9" s="34">
        <f t="shared" si="3"/>
        <v>130</v>
      </c>
      <c r="P9" s="36">
        <v>130</v>
      </c>
      <c r="Q9" s="36">
        <v>8717.4</v>
      </c>
      <c r="R9" s="37">
        <v>3874.4</v>
      </c>
      <c r="S9" s="36">
        <f t="shared" ref="S9:S37" si="6">+P9+Q9+R9</f>
        <v>12721.8</v>
      </c>
      <c r="T9" s="38">
        <f t="shared" ref="T9:T37" si="7">E9*12/52*4%*4</f>
        <v>4.8</v>
      </c>
      <c r="U9" s="38">
        <f t="shared" ref="U9:U37" si="8">E9*12/52*0.5%*4</f>
        <v>0.6</v>
      </c>
      <c r="V9" s="38">
        <f t="shared" ref="V9:V38" si="9">P9*1%</f>
        <v>1.3</v>
      </c>
      <c r="W9" s="39">
        <v>0</v>
      </c>
      <c r="X9" s="38">
        <f t="shared" si="4"/>
        <v>0</v>
      </c>
      <c r="Y9" s="38">
        <v>0</v>
      </c>
      <c r="Z9" s="38">
        <v>0</v>
      </c>
      <c r="AA9" s="38">
        <v>0</v>
      </c>
      <c r="AB9" s="40">
        <f t="shared" ref="AB9:AB37" si="10">T9+U9+V9</f>
        <v>6.6999999999999993</v>
      </c>
      <c r="AC9" s="41">
        <f t="shared" ref="AC9:AC37" si="11">+O9-AB9</f>
        <v>123.3</v>
      </c>
      <c r="AD9" s="42"/>
      <c r="AE9" s="42"/>
    </row>
    <row r="10" spans="1:31" x14ac:dyDescent="0.25">
      <c r="A10" s="28">
        <v>3</v>
      </c>
      <c r="B10" s="29" t="s">
        <v>45</v>
      </c>
      <c r="C10" s="29" t="s">
        <v>46</v>
      </c>
      <c r="D10" s="29" t="s">
        <v>47</v>
      </c>
      <c r="E10" s="30">
        <v>130</v>
      </c>
      <c r="F10" s="31">
        <f t="shared" si="5"/>
        <v>4.333333333333333</v>
      </c>
      <c r="G10" s="32">
        <f t="shared" si="0"/>
        <v>0.54166666666666663</v>
      </c>
      <c r="H10" s="32">
        <f t="shared" si="1"/>
        <v>30</v>
      </c>
      <c r="I10" s="33"/>
      <c r="J10" s="34">
        <v>30</v>
      </c>
      <c r="K10" s="35">
        <v>0</v>
      </c>
      <c r="L10" s="34">
        <f t="shared" si="2"/>
        <v>0</v>
      </c>
      <c r="M10" s="34">
        <v>0</v>
      </c>
      <c r="N10" s="34"/>
      <c r="O10" s="34">
        <f t="shared" si="3"/>
        <v>130</v>
      </c>
      <c r="P10" s="36">
        <v>130</v>
      </c>
      <c r="Q10" s="36">
        <v>8717.4</v>
      </c>
      <c r="R10" s="37">
        <v>3874.4</v>
      </c>
      <c r="S10" s="36">
        <f t="shared" si="6"/>
        <v>12721.8</v>
      </c>
      <c r="T10" s="38">
        <f t="shared" si="7"/>
        <v>4.8</v>
      </c>
      <c r="U10" s="38">
        <f t="shared" si="8"/>
        <v>0.6</v>
      </c>
      <c r="V10" s="38">
        <f t="shared" si="9"/>
        <v>1.3</v>
      </c>
      <c r="W10" s="39">
        <v>0</v>
      </c>
      <c r="X10" s="38">
        <f t="shared" si="4"/>
        <v>0</v>
      </c>
      <c r="Y10" s="38">
        <v>0</v>
      </c>
      <c r="Z10" s="38">
        <v>0</v>
      </c>
      <c r="AA10" s="38">
        <v>0</v>
      </c>
      <c r="AB10" s="40">
        <f t="shared" si="10"/>
        <v>6.6999999999999993</v>
      </c>
      <c r="AC10" s="41">
        <f t="shared" si="11"/>
        <v>123.3</v>
      </c>
      <c r="AD10" s="42"/>
      <c r="AE10" s="42"/>
    </row>
    <row r="11" spans="1:31" x14ac:dyDescent="0.25">
      <c r="A11" s="28">
        <v>4</v>
      </c>
      <c r="B11" s="29" t="s">
        <v>48</v>
      </c>
      <c r="C11" s="29" t="s">
        <v>49</v>
      </c>
      <c r="D11" s="29" t="s">
        <v>50</v>
      </c>
      <c r="E11" s="30">
        <v>130</v>
      </c>
      <c r="F11" s="31">
        <f t="shared" si="5"/>
        <v>4.333333333333333</v>
      </c>
      <c r="G11" s="32">
        <f t="shared" si="0"/>
        <v>0.54166666666666663</v>
      </c>
      <c r="H11" s="32">
        <f t="shared" si="1"/>
        <v>30</v>
      </c>
      <c r="I11" s="43"/>
      <c r="J11" s="34">
        <v>30</v>
      </c>
      <c r="K11" s="35">
        <v>0</v>
      </c>
      <c r="L11" s="34">
        <f t="shared" si="2"/>
        <v>0</v>
      </c>
      <c r="M11" s="34">
        <v>0</v>
      </c>
      <c r="N11" s="34"/>
      <c r="O11" s="34">
        <f t="shared" si="3"/>
        <v>130</v>
      </c>
      <c r="P11" s="36">
        <v>130</v>
      </c>
      <c r="Q11" s="36">
        <v>8717.4</v>
      </c>
      <c r="R11" s="37">
        <v>3874.4</v>
      </c>
      <c r="S11" s="36">
        <f t="shared" si="6"/>
        <v>12721.8</v>
      </c>
      <c r="T11" s="38">
        <f t="shared" si="7"/>
        <v>4.8</v>
      </c>
      <c r="U11" s="38">
        <f t="shared" si="8"/>
        <v>0.6</v>
      </c>
      <c r="V11" s="38">
        <f t="shared" si="9"/>
        <v>1.3</v>
      </c>
      <c r="W11" s="39">
        <v>0</v>
      </c>
      <c r="X11" s="38">
        <f t="shared" si="4"/>
        <v>0</v>
      </c>
      <c r="Y11" s="38">
        <v>0</v>
      </c>
      <c r="Z11" s="38">
        <v>0</v>
      </c>
      <c r="AA11" s="38">
        <v>0</v>
      </c>
      <c r="AB11" s="40">
        <f t="shared" si="10"/>
        <v>6.6999999999999993</v>
      </c>
      <c r="AC11" s="41">
        <f t="shared" si="11"/>
        <v>123.3</v>
      </c>
      <c r="AD11" s="7"/>
      <c r="AE11" s="7"/>
    </row>
    <row r="12" spans="1:31" x14ac:dyDescent="0.25">
      <c r="A12" s="28">
        <v>5</v>
      </c>
      <c r="B12" s="29" t="s">
        <v>51</v>
      </c>
      <c r="C12" s="29" t="s">
        <v>52</v>
      </c>
      <c r="D12" s="29" t="s">
        <v>53</v>
      </c>
      <c r="E12" s="30">
        <v>130</v>
      </c>
      <c r="F12" s="31">
        <f t="shared" si="5"/>
        <v>4.333333333333333</v>
      </c>
      <c r="G12" s="32">
        <f t="shared" si="0"/>
        <v>0.54166666666666663</v>
      </c>
      <c r="H12" s="32">
        <f t="shared" si="1"/>
        <v>30</v>
      </c>
      <c r="I12" s="43"/>
      <c r="J12" s="34">
        <v>30</v>
      </c>
      <c r="K12" s="35">
        <v>0</v>
      </c>
      <c r="L12" s="34">
        <f t="shared" si="2"/>
        <v>0</v>
      </c>
      <c r="M12" s="34">
        <v>0</v>
      </c>
      <c r="N12" s="34"/>
      <c r="O12" s="34">
        <f t="shared" si="3"/>
        <v>130</v>
      </c>
      <c r="P12" s="36">
        <v>130</v>
      </c>
      <c r="Q12" s="36">
        <v>8717.4</v>
      </c>
      <c r="R12" s="37">
        <v>3874.4</v>
      </c>
      <c r="S12" s="36">
        <f t="shared" si="6"/>
        <v>12721.8</v>
      </c>
      <c r="T12" s="38">
        <f t="shared" si="7"/>
        <v>4.8</v>
      </c>
      <c r="U12" s="38">
        <f t="shared" si="8"/>
        <v>0.6</v>
      </c>
      <c r="V12" s="38">
        <f t="shared" si="9"/>
        <v>1.3</v>
      </c>
      <c r="W12" s="39">
        <v>0</v>
      </c>
      <c r="X12" s="38">
        <f t="shared" si="4"/>
        <v>0</v>
      </c>
      <c r="Y12" s="38">
        <v>0</v>
      </c>
      <c r="Z12" s="38">
        <v>0</v>
      </c>
      <c r="AA12" s="38">
        <v>0</v>
      </c>
      <c r="AB12" s="40">
        <f t="shared" si="10"/>
        <v>6.6999999999999993</v>
      </c>
      <c r="AC12" s="41">
        <f t="shared" si="11"/>
        <v>123.3</v>
      </c>
      <c r="AD12" s="7"/>
      <c r="AE12" s="7"/>
    </row>
    <row r="13" spans="1:31" x14ac:dyDescent="0.25">
      <c r="A13" s="28">
        <v>6</v>
      </c>
      <c r="B13" s="29" t="s">
        <v>54</v>
      </c>
      <c r="C13" s="29" t="s">
        <v>55</v>
      </c>
      <c r="D13" s="29" t="s">
        <v>56</v>
      </c>
      <c r="E13" s="30">
        <v>130</v>
      </c>
      <c r="F13" s="31">
        <f>E13/30</f>
        <v>4.333333333333333</v>
      </c>
      <c r="G13" s="32">
        <f t="shared" si="0"/>
        <v>0.54166666666666663</v>
      </c>
      <c r="H13" s="32">
        <f t="shared" si="1"/>
        <v>30</v>
      </c>
      <c r="I13" s="43"/>
      <c r="J13" s="34">
        <v>30</v>
      </c>
      <c r="K13" s="35">
        <v>0</v>
      </c>
      <c r="L13" s="34">
        <f t="shared" si="2"/>
        <v>0</v>
      </c>
      <c r="M13" s="34">
        <v>0</v>
      </c>
      <c r="N13" s="34"/>
      <c r="O13" s="34">
        <f t="shared" si="3"/>
        <v>130</v>
      </c>
      <c r="P13" s="36">
        <v>130</v>
      </c>
      <c r="Q13" s="36">
        <v>8717.4</v>
      </c>
      <c r="R13" s="37">
        <v>3874.4</v>
      </c>
      <c r="S13" s="36">
        <f t="shared" si="6"/>
        <v>12721.8</v>
      </c>
      <c r="T13" s="38">
        <f t="shared" si="7"/>
        <v>4.8</v>
      </c>
      <c r="U13" s="38">
        <f t="shared" si="8"/>
        <v>0.6</v>
      </c>
      <c r="V13" s="38">
        <f t="shared" si="9"/>
        <v>1.3</v>
      </c>
      <c r="W13" s="39">
        <v>0</v>
      </c>
      <c r="X13" s="38">
        <f t="shared" si="4"/>
        <v>0</v>
      </c>
      <c r="Y13" s="38">
        <v>0</v>
      </c>
      <c r="Z13" s="38">
        <v>0</v>
      </c>
      <c r="AA13" s="38">
        <v>0</v>
      </c>
      <c r="AB13" s="40">
        <f t="shared" si="10"/>
        <v>6.6999999999999993</v>
      </c>
      <c r="AC13" s="41">
        <f t="shared" si="11"/>
        <v>123.3</v>
      </c>
      <c r="AD13" s="7"/>
      <c r="AE13" s="7"/>
    </row>
    <row r="14" spans="1:31" x14ac:dyDescent="0.25">
      <c r="A14" s="28">
        <v>7</v>
      </c>
      <c r="B14" s="29" t="s">
        <v>57</v>
      </c>
      <c r="C14" s="29" t="s">
        <v>58</v>
      </c>
      <c r="D14" s="29" t="s">
        <v>59</v>
      </c>
      <c r="E14" s="30">
        <v>130</v>
      </c>
      <c r="F14" s="31">
        <f t="shared" si="5"/>
        <v>4.333333333333333</v>
      </c>
      <c r="G14" s="32">
        <f t="shared" si="0"/>
        <v>0.54166666666666663</v>
      </c>
      <c r="H14" s="32">
        <f t="shared" si="1"/>
        <v>30</v>
      </c>
      <c r="I14" s="43"/>
      <c r="J14" s="34">
        <v>30</v>
      </c>
      <c r="K14" s="35">
        <v>0</v>
      </c>
      <c r="L14" s="34">
        <f t="shared" si="2"/>
        <v>0</v>
      </c>
      <c r="M14" s="34">
        <v>0</v>
      </c>
      <c r="N14" s="34"/>
      <c r="O14" s="34">
        <f t="shared" si="3"/>
        <v>130</v>
      </c>
      <c r="P14" s="36">
        <v>130</v>
      </c>
      <c r="Q14" s="36">
        <v>8717.4</v>
      </c>
      <c r="R14" s="37">
        <v>3874.4</v>
      </c>
      <c r="S14" s="36">
        <f t="shared" si="6"/>
        <v>12721.8</v>
      </c>
      <c r="T14" s="38">
        <f t="shared" si="7"/>
        <v>4.8</v>
      </c>
      <c r="U14" s="38">
        <f t="shared" si="8"/>
        <v>0.6</v>
      </c>
      <c r="V14" s="38">
        <f t="shared" si="9"/>
        <v>1.3</v>
      </c>
      <c r="W14" s="39">
        <v>0</v>
      </c>
      <c r="X14" s="38">
        <f t="shared" si="4"/>
        <v>0</v>
      </c>
      <c r="Y14" s="38">
        <v>0</v>
      </c>
      <c r="Z14" s="38">
        <v>0</v>
      </c>
      <c r="AA14" s="38">
        <v>0</v>
      </c>
      <c r="AB14" s="40">
        <f t="shared" si="10"/>
        <v>6.6999999999999993</v>
      </c>
      <c r="AC14" s="41">
        <f t="shared" si="11"/>
        <v>123.3</v>
      </c>
      <c r="AD14" s="7"/>
      <c r="AE14" s="7"/>
    </row>
    <row r="15" spans="1:31" x14ac:dyDescent="0.25">
      <c r="A15" s="28">
        <v>8</v>
      </c>
      <c r="B15" s="29" t="s">
        <v>60</v>
      </c>
      <c r="C15" s="29" t="s">
        <v>61</v>
      </c>
      <c r="D15" s="29" t="s">
        <v>62</v>
      </c>
      <c r="E15" s="30">
        <v>130</v>
      </c>
      <c r="F15" s="31">
        <f t="shared" si="5"/>
        <v>4.333333333333333</v>
      </c>
      <c r="G15" s="32">
        <f t="shared" si="0"/>
        <v>0.54166666666666663</v>
      </c>
      <c r="H15" s="32">
        <f t="shared" si="1"/>
        <v>30</v>
      </c>
      <c r="I15" s="43"/>
      <c r="J15" s="34">
        <v>30</v>
      </c>
      <c r="K15" s="35">
        <v>0</v>
      </c>
      <c r="L15" s="34">
        <f t="shared" si="2"/>
        <v>0</v>
      </c>
      <c r="M15" s="34">
        <v>0</v>
      </c>
      <c r="N15" s="34"/>
      <c r="O15" s="34">
        <f t="shared" si="3"/>
        <v>130</v>
      </c>
      <c r="P15" s="36">
        <v>130</v>
      </c>
      <c r="Q15" s="36">
        <v>8717.4</v>
      </c>
      <c r="R15" s="37">
        <v>3874.4</v>
      </c>
      <c r="S15" s="36">
        <f t="shared" si="6"/>
        <v>12721.8</v>
      </c>
      <c r="T15" s="38">
        <f t="shared" si="7"/>
        <v>4.8</v>
      </c>
      <c r="U15" s="38">
        <f t="shared" si="8"/>
        <v>0.6</v>
      </c>
      <c r="V15" s="38">
        <f t="shared" si="9"/>
        <v>1.3</v>
      </c>
      <c r="W15" s="39">
        <v>0</v>
      </c>
      <c r="X15" s="38">
        <f t="shared" si="4"/>
        <v>0</v>
      </c>
      <c r="Y15" s="38">
        <v>0</v>
      </c>
      <c r="Z15" s="38">
        <v>0</v>
      </c>
      <c r="AA15" s="38">
        <v>0</v>
      </c>
      <c r="AB15" s="40">
        <f t="shared" si="10"/>
        <v>6.6999999999999993</v>
      </c>
      <c r="AC15" s="41">
        <f t="shared" si="11"/>
        <v>123.3</v>
      </c>
      <c r="AD15" s="7"/>
      <c r="AE15" s="7"/>
    </row>
    <row r="16" spans="1:31" x14ac:dyDescent="0.25">
      <c r="A16" s="28">
        <v>9</v>
      </c>
      <c r="B16" s="29" t="s">
        <v>63</v>
      </c>
      <c r="C16" s="29" t="s">
        <v>64</v>
      </c>
      <c r="D16" s="29" t="s">
        <v>65</v>
      </c>
      <c r="E16" s="30">
        <v>130</v>
      </c>
      <c r="F16" s="31">
        <f t="shared" si="5"/>
        <v>4.333333333333333</v>
      </c>
      <c r="G16" s="32">
        <f t="shared" si="0"/>
        <v>0.54166666666666663</v>
      </c>
      <c r="H16" s="32">
        <f t="shared" si="1"/>
        <v>30</v>
      </c>
      <c r="I16" s="43"/>
      <c r="J16" s="34">
        <v>30</v>
      </c>
      <c r="K16" s="35">
        <v>0</v>
      </c>
      <c r="L16" s="34">
        <f t="shared" si="2"/>
        <v>0</v>
      </c>
      <c r="M16" s="34">
        <v>0</v>
      </c>
      <c r="N16" s="34"/>
      <c r="O16" s="34">
        <f t="shared" si="3"/>
        <v>130</v>
      </c>
      <c r="P16" s="36">
        <v>130</v>
      </c>
      <c r="Q16" s="36">
        <v>8717.4</v>
      </c>
      <c r="R16" s="37">
        <v>3874.4</v>
      </c>
      <c r="S16" s="36">
        <f t="shared" si="6"/>
        <v>12721.8</v>
      </c>
      <c r="T16" s="38">
        <f t="shared" si="7"/>
        <v>4.8</v>
      </c>
      <c r="U16" s="38">
        <f t="shared" si="8"/>
        <v>0.6</v>
      </c>
      <c r="V16" s="38">
        <f t="shared" si="9"/>
        <v>1.3</v>
      </c>
      <c r="W16" s="39">
        <v>0</v>
      </c>
      <c r="X16" s="38">
        <f t="shared" si="4"/>
        <v>0</v>
      </c>
      <c r="Y16" s="38">
        <v>0</v>
      </c>
      <c r="Z16" s="38">
        <v>0</v>
      </c>
      <c r="AA16" s="38">
        <v>0</v>
      </c>
      <c r="AB16" s="40">
        <f t="shared" si="10"/>
        <v>6.6999999999999993</v>
      </c>
      <c r="AC16" s="41">
        <f t="shared" si="11"/>
        <v>123.3</v>
      </c>
      <c r="AD16" s="7"/>
      <c r="AE16" s="7"/>
    </row>
    <row r="17" spans="1:31" x14ac:dyDescent="0.25">
      <c r="A17" s="28">
        <v>10</v>
      </c>
      <c r="B17" s="29" t="s">
        <v>66</v>
      </c>
      <c r="C17" s="29" t="s">
        <v>67</v>
      </c>
      <c r="D17" s="29" t="s">
        <v>53</v>
      </c>
      <c r="E17" s="30">
        <v>130</v>
      </c>
      <c r="F17" s="31">
        <f t="shared" si="5"/>
        <v>4.333333333333333</v>
      </c>
      <c r="G17" s="32">
        <f t="shared" si="0"/>
        <v>0.54166666666666663</v>
      </c>
      <c r="H17" s="32">
        <f t="shared" si="1"/>
        <v>30</v>
      </c>
      <c r="I17" s="43"/>
      <c r="J17" s="34">
        <v>30</v>
      </c>
      <c r="K17" s="35">
        <v>0</v>
      </c>
      <c r="L17" s="34">
        <f t="shared" si="2"/>
        <v>0</v>
      </c>
      <c r="M17" s="34">
        <v>0</v>
      </c>
      <c r="N17" s="34"/>
      <c r="O17" s="34">
        <f t="shared" si="3"/>
        <v>130</v>
      </c>
      <c r="P17" s="36">
        <v>130</v>
      </c>
      <c r="Q17" s="36">
        <v>8717.4</v>
      </c>
      <c r="R17" s="37">
        <v>3874.4</v>
      </c>
      <c r="S17" s="36">
        <f t="shared" si="6"/>
        <v>12721.8</v>
      </c>
      <c r="T17" s="38">
        <f t="shared" si="7"/>
        <v>4.8</v>
      </c>
      <c r="U17" s="38">
        <f t="shared" si="8"/>
        <v>0.6</v>
      </c>
      <c r="V17" s="38">
        <f t="shared" si="9"/>
        <v>1.3</v>
      </c>
      <c r="W17" s="39">
        <v>0</v>
      </c>
      <c r="X17" s="38">
        <f t="shared" si="4"/>
        <v>0</v>
      </c>
      <c r="Y17" s="38">
        <v>0</v>
      </c>
      <c r="Z17" s="38">
        <v>0</v>
      </c>
      <c r="AA17" s="38">
        <v>0</v>
      </c>
      <c r="AB17" s="40">
        <f t="shared" si="10"/>
        <v>6.6999999999999993</v>
      </c>
      <c r="AC17" s="41">
        <f t="shared" si="11"/>
        <v>123.3</v>
      </c>
      <c r="AD17" s="7"/>
      <c r="AE17" s="7"/>
    </row>
    <row r="18" spans="1:31" x14ac:dyDescent="0.25">
      <c r="A18" s="28">
        <v>11</v>
      </c>
      <c r="B18" s="29" t="s">
        <v>68</v>
      </c>
      <c r="C18" s="29" t="s">
        <v>69</v>
      </c>
      <c r="D18" s="29" t="s">
        <v>70</v>
      </c>
      <c r="E18" s="30">
        <v>130</v>
      </c>
      <c r="F18" s="31">
        <f t="shared" si="5"/>
        <v>4.333333333333333</v>
      </c>
      <c r="G18" s="32">
        <f t="shared" si="0"/>
        <v>0.54166666666666663</v>
      </c>
      <c r="H18" s="32">
        <f t="shared" si="1"/>
        <v>30</v>
      </c>
      <c r="I18" s="43"/>
      <c r="J18" s="34">
        <v>30</v>
      </c>
      <c r="K18" s="35">
        <v>0</v>
      </c>
      <c r="L18" s="34">
        <f t="shared" si="2"/>
        <v>0</v>
      </c>
      <c r="M18" s="34">
        <v>0</v>
      </c>
      <c r="N18" s="34"/>
      <c r="O18" s="34">
        <f t="shared" si="3"/>
        <v>130</v>
      </c>
      <c r="P18" s="36">
        <v>130</v>
      </c>
      <c r="Q18" s="36">
        <v>8717.4</v>
      </c>
      <c r="R18" s="37">
        <v>3874.4</v>
      </c>
      <c r="S18" s="36">
        <f t="shared" si="6"/>
        <v>12721.8</v>
      </c>
      <c r="T18" s="38">
        <f t="shared" si="7"/>
        <v>4.8</v>
      </c>
      <c r="U18" s="38">
        <f t="shared" si="8"/>
        <v>0.6</v>
      </c>
      <c r="V18" s="38">
        <f t="shared" si="9"/>
        <v>1.3</v>
      </c>
      <c r="W18" s="39">
        <v>0</v>
      </c>
      <c r="X18" s="38">
        <f t="shared" si="4"/>
        <v>0</v>
      </c>
      <c r="Y18" s="38">
        <v>0</v>
      </c>
      <c r="Z18" s="38">
        <v>0</v>
      </c>
      <c r="AA18" s="38">
        <v>0</v>
      </c>
      <c r="AB18" s="40">
        <f t="shared" si="10"/>
        <v>6.6999999999999993</v>
      </c>
      <c r="AC18" s="41">
        <f t="shared" si="11"/>
        <v>123.3</v>
      </c>
      <c r="AD18" s="7"/>
      <c r="AE18" s="7"/>
    </row>
    <row r="19" spans="1:31" x14ac:dyDescent="0.25">
      <c r="A19" s="28">
        <v>12</v>
      </c>
      <c r="B19" s="29" t="s">
        <v>71</v>
      </c>
      <c r="C19" s="29" t="s">
        <v>72</v>
      </c>
      <c r="D19" s="29" t="s">
        <v>73</v>
      </c>
      <c r="E19" s="30">
        <v>130</v>
      </c>
      <c r="F19" s="31">
        <f t="shared" si="5"/>
        <v>4.333333333333333</v>
      </c>
      <c r="G19" s="32">
        <f t="shared" si="0"/>
        <v>0.54166666666666663</v>
      </c>
      <c r="H19" s="32">
        <f t="shared" si="1"/>
        <v>30</v>
      </c>
      <c r="I19" s="43"/>
      <c r="J19" s="34">
        <v>30</v>
      </c>
      <c r="K19" s="35">
        <v>0</v>
      </c>
      <c r="L19" s="34">
        <f t="shared" si="2"/>
        <v>0</v>
      </c>
      <c r="M19" s="34">
        <v>0</v>
      </c>
      <c r="N19" s="34"/>
      <c r="O19" s="34">
        <f t="shared" si="3"/>
        <v>130</v>
      </c>
      <c r="P19" s="36">
        <v>130</v>
      </c>
      <c r="Q19" s="36">
        <v>8717.4</v>
      </c>
      <c r="R19" s="37">
        <v>3874.4</v>
      </c>
      <c r="S19" s="36">
        <f t="shared" si="6"/>
        <v>12721.8</v>
      </c>
      <c r="T19" s="38">
        <f t="shared" si="7"/>
        <v>4.8</v>
      </c>
      <c r="U19" s="38">
        <f t="shared" si="8"/>
        <v>0.6</v>
      </c>
      <c r="V19" s="38">
        <f t="shared" si="9"/>
        <v>1.3</v>
      </c>
      <c r="W19" s="39">
        <v>0</v>
      </c>
      <c r="X19" s="38">
        <f t="shared" si="4"/>
        <v>0</v>
      </c>
      <c r="Y19" s="38">
        <v>0</v>
      </c>
      <c r="Z19" s="38">
        <v>0</v>
      </c>
      <c r="AA19" s="38">
        <v>0</v>
      </c>
      <c r="AB19" s="40">
        <f t="shared" si="10"/>
        <v>6.6999999999999993</v>
      </c>
      <c r="AC19" s="41">
        <f t="shared" si="11"/>
        <v>123.3</v>
      </c>
      <c r="AD19" s="7"/>
      <c r="AE19" s="7"/>
    </row>
    <row r="20" spans="1:31" x14ac:dyDescent="0.25">
      <c r="A20" s="28">
        <v>13</v>
      </c>
      <c r="B20" s="29" t="s">
        <v>74</v>
      </c>
      <c r="C20" s="29" t="s">
        <v>75</v>
      </c>
      <c r="D20" s="29" t="s">
        <v>70</v>
      </c>
      <c r="E20" s="30">
        <v>130</v>
      </c>
      <c r="F20" s="31">
        <f t="shared" si="5"/>
        <v>4.333333333333333</v>
      </c>
      <c r="G20" s="32">
        <f t="shared" si="0"/>
        <v>0.54166666666666663</v>
      </c>
      <c r="H20" s="32">
        <f t="shared" si="1"/>
        <v>30</v>
      </c>
      <c r="I20" s="43"/>
      <c r="J20" s="34">
        <v>30</v>
      </c>
      <c r="K20" s="35">
        <v>0</v>
      </c>
      <c r="L20" s="34">
        <f t="shared" si="2"/>
        <v>0</v>
      </c>
      <c r="M20" s="34">
        <v>0</v>
      </c>
      <c r="N20" s="34"/>
      <c r="O20" s="34">
        <f t="shared" si="3"/>
        <v>130</v>
      </c>
      <c r="P20" s="36">
        <v>130</v>
      </c>
      <c r="Q20" s="36">
        <v>8717.4</v>
      </c>
      <c r="R20" s="37">
        <v>3874.4</v>
      </c>
      <c r="S20" s="36">
        <f t="shared" si="6"/>
        <v>12721.8</v>
      </c>
      <c r="T20" s="38">
        <f t="shared" si="7"/>
        <v>4.8</v>
      </c>
      <c r="U20" s="38">
        <f t="shared" si="8"/>
        <v>0.6</v>
      </c>
      <c r="V20" s="38">
        <f t="shared" si="9"/>
        <v>1.3</v>
      </c>
      <c r="W20" s="39">
        <v>0</v>
      </c>
      <c r="X20" s="38">
        <f t="shared" si="4"/>
        <v>0</v>
      </c>
      <c r="Y20" s="38">
        <v>0</v>
      </c>
      <c r="Z20" s="38">
        <v>0</v>
      </c>
      <c r="AA20" s="38">
        <v>0</v>
      </c>
      <c r="AB20" s="40">
        <f t="shared" si="10"/>
        <v>6.6999999999999993</v>
      </c>
      <c r="AC20" s="41">
        <f t="shared" si="11"/>
        <v>123.3</v>
      </c>
      <c r="AD20" s="7"/>
      <c r="AE20" s="7"/>
    </row>
    <row r="21" spans="1:31" x14ac:dyDescent="0.25">
      <c r="A21" s="28">
        <v>14</v>
      </c>
      <c r="B21" s="29" t="s">
        <v>76</v>
      </c>
      <c r="C21" s="29" t="s">
        <v>77</v>
      </c>
      <c r="D21" s="29" t="s">
        <v>78</v>
      </c>
      <c r="E21" s="30">
        <v>130</v>
      </c>
      <c r="F21" s="31">
        <f t="shared" si="5"/>
        <v>4.333333333333333</v>
      </c>
      <c r="G21" s="32">
        <f t="shared" si="0"/>
        <v>0.54166666666666663</v>
      </c>
      <c r="H21" s="32">
        <f t="shared" si="1"/>
        <v>30</v>
      </c>
      <c r="I21" s="43"/>
      <c r="J21" s="34">
        <v>30</v>
      </c>
      <c r="K21" s="35">
        <v>0</v>
      </c>
      <c r="L21" s="34">
        <f t="shared" si="2"/>
        <v>0</v>
      </c>
      <c r="M21" s="34">
        <v>0</v>
      </c>
      <c r="N21" s="34"/>
      <c r="O21" s="34">
        <f t="shared" si="3"/>
        <v>130</v>
      </c>
      <c r="P21" s="36">
        <v>130</v>
      </c>
      <c r="Q21" s="36">
        <v>8717.4</v>
      </c>
      <c r="R21" s="37">
        <v>3874.4</v>
      </c>
      <c r="S21" s="36">
        <f t="shared" si="6"/>
        <v>12721.8</v>
      </c>
      <c r="T21" s="38">
        <f t="shared" si="7"/>
        <v>4.8</v>
      </c>
      <c r="U21" s="38">
        <f t="shared" si="8"/>
        <v>0.6</v>
      </c>
      <c r="V21" s="38">
        <f t="shared" si="9"/>
        <v>1.3</v>
      </c>
      <c r="W21" s="39">
        <v>0</v>
      </c>
      <c r="X21" s="38">
        <f t="shared" si="4"/>
        <v>0</v>
      </c>
      <c r="Y21" s="38">
        <v>0</v>
      </c>
      <c r="Z21" s="38">
        <v>0</v>
      </c>
      <c r="AA21" s="38">
        <v>0</v>
      </c>
      <c r="AB21" s="40">
        <f t="shared" si="10"/>
        <v>6.6999999999999993</v>
      </c>
      <c r="AC21" s="41">
        <f t="shared" si="11"/>
        <v>123.3</v>
      </c>
      <c r="AD21" s="7"/>
      <c r="AE21" s="7"/>
    </row>
    <row r="22" spans="1:31" x14ac:dyDescent="0.25">
      <c r="A22" s="28">
        <v>15</v>
      </c>
      <c r="B22" s="29" t="s">
        <v>79</v>
      </c>
      <c r="C22" s="29" t="s">
        <v>80</v>
      </c>
      <c r="D22" s="29" t="s">
        <v>78</v>
      </c>
      <c r="E22" s="30">
        <v>130</v>
      </c>
      <c r="F22" s="31">
        <f t="shared" si="5"/>
        <v>4.333333333333333</v>
      </c>
      <c r="G22" s="32">
        <f t="shared" si="0"/>
        <v>0.54166666666666663</v>
      </c>
      <c r="H22" s="32">
        <f t="shared" si="1"/>
        <v>30</v>
      </c>
      <c r="I22" s="43"/>
      <c r="J22" s="34">
        <v>30</v>
      </c>
      <c r="K22" s="35">
        <v>0</v>
      </c>
      <c r="L22" s="34">
        <f t="shared" si="2"/>
        <v>0</v>
      </c>
      <c r="M22" s="34">
        <v>0</v>
      </c>
      <c r="N22" s="34"/>
      <c r="O22" s="34">
        <f t="shared" si="3"/>
        <v>130</v>
      </c>
      <c r="P22" s="36">
        <v>130</v>
      </c>
      <c r="Q22" s="36">
        <v>8717.4</v>
      </c>
      <c r="R22" s="37">
        <v>3874.4</v>
      </c>
      <c r="S22" s="36">
        <f t="shared" si="6"/>
        <v>12721.8</v>
      </c>
      <c r="T22" s="38">
        <f t="shared" si="7"/>
        <v>4.8</v>
      </c>
      <c r="U22" s="38">
        <f t="shared" si="8"/>
        <v>0.6</v>
      </c>
      <c r="V22" s="38">
        <f t="shared" si="9"/>
        <v>1.3</v>
      </c>
      <c r="W22" s="39">
        <v>0</v>
      </c>
      <c r="X22" s="38">
        <f t="shared" si="4"/>
        <v>0</v>
      </c>
      <c r="Y22" s="38">
        <v>0</v>
      </c>
      <c r="Z22" s="38">
        <v>0</v>
      </c>
      <c r="AA22" s="38">
        <v>0</v>
      </c>
      <c r="AB22" s="40">
        <f t="shared" si="10"/>
        <v>6.6999999999999993</v>
      </c>
      <c r="AC22" s="41">
        <f t="shared" si="11"/>
        <v>123.3</v>
      </c>
      <c r="AD22" s="7"/>
      <c r="AE22" s="7"/>
    </row>
    <row r="23" spans="1:31" x14ac:dyDescent="0.25">
      <c r="A23" s="28">
        <v>16</v>
      </c>
      <c r="B23" s="29" t="s">
        <v>81</v>
      </c>
      <c r="C23" s="29" t="s">
        <v>82</v>
      </c>
      <c r="D23" s="29" t="s">
        <v>78</v>
      </c>
      <c r="E23" s="30">
        <v>130</v>
      </c>
      <c r="F23" s="31">
        <f t="shared" si="5"/>
        <v>4.333333333333333</v>
      </c>
      <c r="G23" s="32">
        <f t="shared" si="0"/>
        <v>0.54166666666666663</v>
      </c>
      <c r="H23" s="32">
        <f t="shared" si="1"/>
        <v>30</v>
      </c>
      <c r="I23" s="43"/>
      <c r="J23" s="34">
        <v>30</v>
      </c>
      <c r="K23" s="35">
        <v>0</v>
      </c>
      <c r="L23" s="34">
        <f t="shared" si="2"/>
        <v>0</v>
      </c>
      <c r="M23" s="34">
        <v>0</v>
      </c>
      <c r="N23" s="34"/>
      <c r="O23" s="34">
        <f t="shared" si="3"/>
        <v>130</v>
      </c>
      <c r="P23" s="36">
        <v>130</v>
      </c>
      <c r="Q23" s="36">
        <v>8717.4</v>
      </c>
      <c r="R23" s="37">
        <v>3874.4</v>
      </c>
      <c r="S23" s="36">
        <f t="shared" si="6"/>
        <v>12721.8</v>
      </c>
      <c r="T23" s="38">
        <f t="shared" si="7"/>
        <v>4.8</v>
      </c>
      <c r="U23" s="38">
        <f t="shared" si="8"/>
        <v>0.6</v>
      </c>
      <c r="V23" s="38">
        <f t="shared" si="9"/>
        <v>1.3</v>
      </c>
      <c r="W23" s="39">
        <v>0</v>
      </c>
      <c r="X23" s="38">
        <f t="shared" si="4"/>
        <v>0</v>
      </c>
      <c r="Y23" s="38">
        <v>0</v>
      </c>
      <c r="Z23" s="38">
        <v>0</v>
      </c>
      <c r="AA23" s="38">
        <v>0</v>
      </c>
      <c r="AB23" s="40">
        <f t="shared" si="10"/>
        <v>6.6999999999999993</v>
      </c>
      <c r="AC23" s="41">
        <f t="shared" si="11"/>
        <v>123.3</v>
      </c>
      <c r="AD23" s="7"/>
      <c r="AE23" s="7"/>
    </row>
    <row r="24" spans="1:31" x14ac:dyDescent="0.25">
      <c r="A24" s="28">
        <v>17</v>
      </c>
      <c r="B24" s="29" t="s">
        <v>83</v>
      </c>
      <c r="C24" s="29" t="s">
        <v>84</v>
      </c>
      <c r="D24" s="29" t="s">
        <v>70</v>
      </c>
      <c r="E24" s="30">
        <v>130</v>
      </c>
      <c r="F24" s="31">
        <f t="shared" si="5"/>
        <v>4.333333333333333</v>
      </c>
      <c r="G24" s="32">
        <f t="shared" si="0"/>
        <v>0.54166666666666663</v>
      </c>
      <c r="H24" s="32">
        <f t="shared" si="1"/>
        <v>30</v>
      </c>
      <c r="I24" s="43"/>
      <c r="J24" s="34">
        <v>30</v>
      </c>
      <c r="K24" s="35">
        <v>0</v>
      </c>
      <c r="L24" s="34">
        <f t="shared" si="2"/>
        <v>0</v>
      </c>
      <c r="M24" s="34">
        <v>0</v>
      </c>
      <c r="N24" s="34"/>
      <c r="O24" s="34">
        <f t="shared" si="3"/>
        <v>130</v>
      </c>
      <c r="P24" s="36">
        <v>130</v>
      </c>
      <c r="Q24" s="36">
        <v>8717.4</v>
      </c>
      <c r="R24" s="37">
        <v>3874.4</v>
      </c>
      <c r="S24" s="36">
        <f t="shared" si="6"/>
        <v>12721.8</v>
      </c>
      <c r="T24" s="38">
        <f t="shared" si="7"/>
        <v>4.8</v>
      </c>
      <c r="U24" s="38">
        <f t="shared" si="8"/>
        <v>0.6</v>
      </c>
      <c r="V24" s="38">
        <f t="shared" si="9"/>
        <v>1.3</v>
      </c>
      <c r="W24" s="39">
        <v>0</v>
      </c>
      <c r="X24" s="38">
        <f t="shared" si="4"/>
        <v>0</v>
      </c>
      <c r="Y24" s="38">
        <v>0</v>
      </c>
      <c r="Z24" s="38">
        <v>0</v>
      </c>
      <c r="AA24" s="38">
        <v>0</v>
      </c>
      <c r="AB24" s="40">
        <f t="shared" si="10"/>
        <v>6.6999999999999993</v>
      </c>
      <c r="AC24" s="41">
        <f t="shared" si="11"/>
        <v>123.3</v>
      </c>
      <c r="AD24" s="7"/>
      <c r="AE24" s="7"/>
    </row>
    <row r="25" spans="1:31" x14ac:dyDescent="0.25">
      <c r="A25" s="28">
        <v>18</v>
      </c>
      <c r="B25" s="29" t="s">
        <v>85</v>
      </c>
      <c r="C25" s="29" t="s">
        <v>86</v>
      </c>
      <c r="D25" s="29" t="s">
        <v>53</v>
      </c>
      <c r="E25" s="30">
        <v>130</v>
      </c>
      <c r="F25" s="31">
        <f t="shared" si="5"/>
        <v>4.333333333333333</v>
      </c>
      <c r="G25" s="32">
        <f t="shared" si="0"/>
        <v>0.54166666666666663</v>
      </c>
      <c r="H25" s="32">
        <f t="shared" si="1"/>
        <v>30</v>
      </c>
      <c r="I25" s="43"/>
      <c r="J25" s="34">
        <v>30</v>
      </c>
      <c r="K25" s="35">
        <v>0</v>
      </c>
      <c r="L25" s="34">
        <f t="shared" si="2"/>
        <v>0</v>
      </c>
      <c r="M25" s="34">
        <v>0</v>
      </c>
      <c r="N25" s="34"/>
      <c r="O25" s="34">
        <f t="shared" si="3"/>
        <v>130</v>
      </c>
      <c r="P25" s="36">
        <v>130</v>
      </c>
      <c r="Q25" s="36">
        <v>8717.4</v>
      </c>
      <c r="R25" s="37">
        <v>3874.4</v>
      </c>
      <c r="S25" s="36">
        <f t="shared" si="6"/>
        <v>12721.8</v>
      </c>
      <c r="T25" s="38">
        <f t="shared" si="7"/>
        <v>4.8</v>
      </c>
      <c r="U25" s="38">
        <f t="shared" si="8"/>
        <v>0.6</v>
      </c>
      <c r="V25" s="38">
        <f t="shared" si="9"/>
        <v>1.3</v>
      </c>
      <c r="W25" s="39">
        <v>0</v>
      </c>
      <c r="X25" s="38">
        <f t="shared" si="4"/>
        <v>0</v>
      </c>
      <c r="Y25" s="38">
        <v>0</v>
      </c>
      <c r="Z25" s="38">
        <v>0</v>
      </c>
      <c r="AA25" s="38">
        <v>0</v>
      </c>
      <c r="AB25" s="40">
        <f t="shared" si="10"/>
        <v>6.6999999999999993</v>
      </c>
      <c r="AC25" s="41">
        <f t="shared" si="11"/>
        <v>123.3</v>
      </c>
      <c r="AD25" s="7"/>
      <c r="AE25" s="7"/>
    </row>
    <row r="26" spans="1:31" x14ac:dyDescent="0.25">
      <c r="A26" s="28">
        <v>19</v>
      </c>
      <c r="B26" s="29" t="s">
        <v>87</v>
      </c>
      <c r="C26" s="29" t="s">
        <v>88</v>
      </c>
      <c r="D26" s="29" t="s">
        <v>89</v>
      </c>
      <c r="E26" s="30">
        <v>130</v>
      </c>
      <c r="F26" s="31">
        <f t="shared" si="5"/>
        <v>4.333333333333333</v>
      </c>
      <c r="G26" s="32">
        <f t="shared" si="0"/>
        <v>0.54166666666666663</v>
      </c>
      <c r="H26" s="32">
        <f t="shared" si="1"/>
        <v>30</v>
      </c>
      <c r="I26" s="43"/>
      <c r="J26" s="34">
        <v>30</v>
      </c>
      <c r="K26" s="35">
        <v>0</v>
      </c>
      <c r="L26" s="34">
        <f t="shared" si="2"/>
        <v>0</v>
      </c>
      <c r="M26" s="34">
        <v>0</v>
      </c>
      <c r="N26" s="34"/>
      <c r="O26" s="34">
        <f t="shared" si="3"/>
        <v>130</v>
      </c>
      <c r="P26" s="36">
        <v>130</v>
      </c>
      <c r="Q26" s="36">
        <v>8717.4</v>
      </c>
      <c r="R26" s="37">
        <v>3874.4</v>
      </c>
      <c r="S26" s="36">
        <f t="shared" si="6"/>
        <v>12721.8</v>
      </c>
      <c r="T26" s="38">
        <f t="shared" si="7"/>
        <v>4.8</v>
      </c>
      <c r="U26" s="38">
        <f t="shared" si="8"/>
        <v>0.6</v>
      </c>
      <c r="V26" s="38">
        <f t="shared" si="9"/>
        <v>1.3</v>
      </c>
      <c r="W26" s="39">
        <v>0</v>
      </c>
      <c r="X26" s="38">
        <f t="shared" si="4"/>
        <v>0</v>
      </c>
      <c r="Y26" s="38">
        <v>0</v>
      </c>
      <c r="Z26" s="38">
        <v>0</v>
      </c>
      <c r="AA26" s="38">
        <v>0</v>
      </c>
      <c r="AB26" s="40">
        <f t="shared" si="10"/>
        <v>6.6999999999999993</v>
      </c>
      <c r="AC26" s="41">
        <f t="shared" si="11"/>
        <v>123.3</v>
      </c>
      <c r="AD26" s="7"/>
      <c r="AE26" s="7"/>
    </row>
    <row r="27" spans="1:31" x14ac:dyDescent="0.25">
      <c r="A27" s="28">
        <v>20</v>
      </c>
      <c r="B27" s="29" t="s">
        <v>90</v>
      </c>
      <c r="C27" s="29" t="s">
        <v>91</v>
      </c>
      <c r="D27" s="29" t="s">
        <v>73</v>
      </c>
      <c r="E27" s="30">
        <v>130</v>
      </c>
      <c r="F27" s="31">
        <f t="shared" si="5"/>
        <v>4.333333333333333</v>
      </c>
      <c r="G27" s="32">
        <f t="shared" si="0"/>
        <v>0.54166666666666663</v>
      </c>
      <c r="H27" s="32">
        <f t="shared" si="1"/>
        <v>30</v>
      </c>
      <c r="I27" s="43"/>
      <c r="J27" s="34">
        <v>30</v>
      </c>
      <c r="K27" s="35">
        <v>0</v>
      </c>
      <c r="L27" s="34">
        <f t="shared" si="2"/>
        <v>0</v>
      </c>
      <c r="M27" s="34">
        <v>0</v>
      </c>
      <c r="N27" s="34"/>
      <c r="O27" s="34">
        <f t="shared" si="3"/>
        <v>130</v>
      </c>
      <c r="P27" s="36">
        <v>130</v>
      </c>
      <c r="Q27" s="36">
        <v>8717.4</v>
      </c>
      <c r="R27" s="37">
        <v>3874.4</v>
      </c>
      <c r="S27" s="36">
        <f t="shared" si="6"/>
        <v>12721.8</v>
      </c>
      <c r="T27" s="38">
        <f t="shared" si="7"/>
        <v>4.8</v>
      </c>
      <c r="U27" s="38">
        <f t="shared" si="8"/>
        <v>0.6</v>
      </c>
      <c r="V27" s="38">
        <f t="shared" si="9"/>
        <v>1.3</v>
      </c>
      <c r="W27" s="39">
        <v>0</v>
      </c>
      <c r="X27" s="38">
        <f t="shared" si="4"/>
        <v>0</v>
      </c>
      <c r="Y27" s="38">
        <v>0</v>
      </c>
      <c r="Z27" s="38">
        <v>0</v>
      </c>
      <c r="AA27" s="38">
        <v>0</v>
      </c>
      <c r="AB27" s="40">
        <f t="shared" si="10"/>
        <v>6.6999999999999993</v>
      </c>
      <c r="AC27" s="41">
        <f t="shared" si="11"/>
        <v>123.3</v>
      </c>
      <c r="AD27" s="7"/>
      <c r="AE27" s="7"/>
    </row>
    <row r="28" spans="1:31" x14ac:dyDescent="0.25">
      <c r="A28" s="28">
        <v>21</v>
      </c>
      <c r="B28" s="29" t="s">
        <v>92</v>
      </c>
      <c r="C28" s="29" t="s">
        <v>93</v>
      </c>
      <c r="D28" s="29" t="s">
        <v>89</v>
      </c>
      <c r="E28" s="30">
        <v>130</v>
      </c>
      <c r="F28" s="31">
        <f t="shared" si="5"/>
        <v>4.333333333333333</v>
      </c>
      <c r="G28" s="32">
        <f t="shared" si="0"/>
        <v>0.54166666666666663</v>
      </c>
      <c r="H28" s="32">
        <f t="shared" si="1"/>
        <v>30</v>
      </c>
      <c r="I28" s="43"/>
      <c r="J28" s="34">
        <v>30</v>
      </c>
      <c r="K28" s="35">
        <v>0</v>
      </c>
      <c r="L28" s="34">
        <f t="shared" si="2"/>
        <v>0</v>
      </c>
      <c r="M28" s="34">
        <v>0</v>
      </c>
      <c r="N28" s="34"/>
      <c r="O28" s="34">
        <f t="shared" si="3"/>
        <v>130</v>
      </c>
      <c r="P28" s="36">
        <v>130</v>
      </c>
      <c r="Q28" s="36">
        <v>8717.4</v>
      </c>
      <c r="R28" s="37">
        <v>3874.4</v>
      </c>
      <c r="S28" s="36">
        <f t="shared" si="6"/>
        <v>12721.8</v>
      </c>
      <c r="T28" s="38">
        <f t="shared" si="7"/>
        <v>4.8</v>
      </c>
      <c r="U28" s="38">
        <f t="shared" si="8"/>
        <v>0.6</v>
      </c>
      <c r="V28" s="38">
        <f t="shared" si="9"/>
        <v>1.3</v>
      </c>
      <c r="W28" s="39">
        <v>0</v>
      </c>
      <c r="X28" s="38">
        <f t="shared" si="4"/>
        <v>0</v>
      </c>
      <c r="Y28" s="38">
        <v>0</v>
      </c>
      <c r="Z28" s="38">
        <v>0</v>
      </c>
      <c r="AA28" s="38">
        <v>0</v>
      </c>
      <c r="AB28" s="40">
        <f t="shared" si="10"/>
        <v>6.6999999999999993</v>
      </c>
      <c r="AC28" s="41">
        <f t="shared" si="11"/>
        <v>123.3</v>
      </c>
      <c r="AD28" s="7"/>
      <c r="AE28" s="7"/>
    </row>
    <row r="29" spans="1:31" x14ac:dyDescent="0.25">
      <c r="A29" s="28">
        <v>22</v>
      </c>
      <c r="B29" s="29" t="s">
        <v>94</v>
      </c>
      <c r="C29" s="29" t="s">
        <v>95</v>
      </c>
      <c r="D29" s="29" t="s">
        <v>53</v>
      </c>
      <c r="E29" s="30">
        <v>130</v>
      </c>
      <c r="F29" s="31">
        <f t="shared" si="5"/>
        <v>4.333333333333333</v>
      </c>
      <c r="G29" s="32">
        <f t="shared" si="0"/>
        <v>0.54166666666666663</v>
      </c>
      <c r="H29" s="32">
        <f t="shared" si="1"/>
        <v>30</v>
      </c>
      <c r="I29" s="43"/>
      <c r="J29" s="34">
        <v>30</v>
      </c>
      <c r="K29" s="35">
        <v>0</v>
      </c>
      <c r="L29" s="34">
        <f t="shared" si="2"/>
        <v>0</v>
      </c>
      <c r="M29" s="34">
        <v>0</v>
      </c>
      <c r="N29" s="34"/>
      <c r="O29" s="34">
        <f t="shared" si="3"/>
        <v>130</v>
      </c>
      <c r="P29" s="36">
        <v>130</v>
      </c>
      <c r="Q29" s="36">
        <v>8717.4</v>
      </c>
      <c r="R29" s="37">
        <v>3874.4</v>
      </c>
      <c r="S29" s="36">
        <f t="shared" si="6"/>
        <v>12721.8</v>
      </c>
      <c r="T29" s="38">
        <f t="shared" si="7"/>
        <v>4.8</v>
      </c>
      <c r="U29" s="38">
        <f t="shared" si="8"/>
        <v>0.6</v>
      </c>
      <c r="V29" s="38">
        <f t="shared" si="9"/>
        <v>1.3</v>
      </c>
      <c r="W29" s="39">
        <v>0</v>
      </c>
      <c r="X29" s="38">
        <f t="shared" si="4"/>
        <v>0</v>
      </c>
      <c r="Y29" s="38">
        <v>0</v>
      </c>
      <c r="Z29" s="38">
        <v>0</v>
      </c>
      <c r="AA29" s="38">
        <v>0</v>
      </c>
      <c r="AB29" s="40">
        <f t="shared" si="10"/>
        <v>6.6999999999999993</v>
      </c>
      <c r="AC29" s="41">
        <f t="shared" si="11"/>
        <v>123.3</v>
      </c>
      <c r="AD29" s="7"/>
      <c r="AE29" s="7"/>
    </row>
    <row r="30" spans="1:31" x14ac:dyDescent="0.25">
      <c r="A30" s="28">
        <v>23</v>
      </c>
      <c r="B30" s="29" t="s">
        <v>96</v>
      </c>
      <c r="C30" s="29" t="s">
        <v>97</v>
      </c>
      <c r="D30" s="29" t="s">
        <v>98</v>
      </c>
      <c r="E30" s="30">
        <v>130</v>
      </c>
      <c r="F30" s="31">
        <f t="shared" si="5"/>
        <v>4.333333333333333</v>
      </c>
      <c r="G30" s="32">
        <f t="shared" si="0"/>
        <v>0.54166666666666663</v>
      </c>
      <c r="H30" s="32">
        <f t="shared" si="1"/>
        <v>30</v>
      </c>
      <c r="I30" s="43"/>
      <c r="J30" s="34">
        <v>30</v>
      </c>
      <c r="K30" s="35">
        <v>0</v>
      </c>
      <c r="L30" s="34">
        <f t="shared" si="2"/>
        <v>0</v>
      </c>
      <c r="M30" s="34">
        <v>0</v>
      </c>
      <c r="N30" s="34"/>
      <c r="O30" s="34">
        <f t="shared" si="3"/>
        <v>130</v>
      </c>
      <c r="P30" s="36">
        <v>130</v>
      </c>
      <c r="Q30" s="36">
        <v>8717.4</v>
      </c>
      <c r="R30" s="37">
        <v>3874.4</v>
      </c>
      <c r="S30" s="36">
        <f t="shared" si="6"/>
        <v>12721.8</v>
      </c>
      <c r="T30" s="38">
        <f t="shared" si="7"/>
        <v>4.8</v>
      </c>
      <c r="U30" s="38">
        <f t="shared" si="8"/>
        <v>0.6</v>
      </c>
      <c r="V30" s="38">
        <f t="shared" si="9"/>
        <v>1.3</v>
      </c>
      <c r="W30" s="39">
        <v>0</v>
      </c>
      <c r="X30" s="38">
        <f t="shared" si="4"/>
        <v>0</v>
      </c>
      <c r="Y30" s="38">
        <v>0</v>
      </c>
      <c r="Z30" s="38">
        <v>0</v>
      </c>
      <c r="AA30" s="38">
        <v>0</v>
      </c>
      <c r="AB30" s="40">
        <f t="shared" si="10"/>
        <v>6.6999999999999993</v>
      </c>
      <c r="AC30" s="41">
        <f t="shared" si="11"/>
        <v>123.3</v>
      </c>
      <c r="AD30" s="7"/>
      <c r="AE30" s="7"/>
    </row>
    <row r="31" spans="1:31" x14ac:dyDescent="0.25">
      <c r="A31" s="28">
        <v>24</v>
      </c>
      <c r="B31" s="29" t="s">
        <v>99</v>
      </c>
      <c r="C31" s="29" t="s">
        <v>100</v>
      </c>
      <c r="D31" s="29" t="s">
        <v>101</v>
      </c>
      <c r="E31" s="30">
        <v>130</v>
      </c>
      <c r="F31" s="31">
        <f t="shared" si="5"/>
        <v>4.333333333333333</v>
      </c>
      <c r="G31" s="32">
        <f t="shared" si="0"/>
        <v>0.54166666666666663</v>
      </c>
      <c r="H31" s="32">
        <f t="shared" si="1"/>
        <v>30</v>
      </c>
      <c r="I31" s="43"/>
      <c r="J31" s="34">
        <v>30</v>
      </c>
      <c r="K31" s="35">
        <v>0</v>
      </c>
      <c r="L31" s="34">
        <f t="shared" si="2"/>
        <v>0</v>
      </c>
      <c r="M31" s="34">
        <v>0</v>
      </c>
      <c r="N31" s="34"/>
      <c r="O31" s="34">
        <f t="shared" si="3"/>
        <v>130</v>
      </c>
      <c r="P31" s="36">
        <v>130</v>
      </c>
      <c r="Q31" s="36">
        <v>8717.4</v>
      </c>
      <c r="R31" s="37">
        <v>3874.4</v>
      </c>
      <c r="S31" s="36">
        <f t="shared" si="6"/>
        <v>12721.8</v>
      </c>
      <c r="T31" s="38">
        <f t="shared" si="7"/>
        <v>4.8</v>
      </c>
      <c r="U31" s="38">
        <f t="shared" si="8"/>
        <v>0.6</v>
      </c>
      <c r="V31" s="38">
        <f t="shared" si="9"/>
        <v>1.3</v>
      </c>
      <c r="W31" s="39">
        <v>0</v>
      </c>
      <c r="X31" s="38">
        <f t="shared" si="4"/>
        <v>0</v>
      </c>
      <c r="Y31" s="38">
        <v>0</v>
      </c>
      <c r="Z31" s="38">
        <v>0</v>
      </c>
      <c r="AA31" s="38">
        <v>0</v>
      </c>
      <c r="AB31" s="40">
        <f t="shared" si="10"/>
        <v>6.6999999999999993</v>
      </c>
      <c r="AC31" s="41">
        <f t="shared" si="11"/>
        <v>123.3</v>
      </c>
      <c r="AD31" s="7"/>
      <c r="AE31" s="7"/>
    </row>
    <row r="32" spans="1:31" x14ac:dyDescent="0.25">
      <c r="A32" s="28">
        <v>25</v>
      </c>
      <c r="B32" s="29" t="s">
        <v>102</v>
      </c>
      <c r="C32" s="29" t="s">
        <v>103</v>
      </c>
      <c r="D32" s="29" t="s">
        <v>78</v>
      </c>
      <c r="E32" s="30">
        <v>130</v>
      </c>
      <c r="F32" s="31">
        <f t="shared" si="5"/>
        <v>4.333333333333333</v>
      </c>
      <c r="G32" s="32">
        <f t="shared" si="0"/>
        <v>0.54166666666666663</v>
      </c>
      <c r="H32" s="32">
        <f t="shared" si="1"/>
        <v>30</v>
      </c>
      <c r="I32" s="43"/>
      <c r="J32" s="34">
        <v>30</v>
      </c>
      <c r="K32" s="35">
        <v>0</v>
      </c>
      <c r="L32" s="34">
        <f t="shared" si="2"/>
        <v>0</v>
      </c>
      <c r="M32" s="34">
        <v>0</v>
      </c>
      <c r="N32" s="34"/>
      <c r="O32" s="34">
        <f t="shared" si="3"/>
        <v>130</v>
      </c>
      <c r="P32" s="36">
        <v>130</v>
      </c>
      <c r="Q32" s="36">
        <v>8717.4</v>
      </c>
      <c r="R32" s="37">
        <v>3874.4</v>
      </c>
      <c r="S32" s="36">
        <f t="shared" si="6"/>
        <v>12721.8</v>
      </c>
      <c r="T32" s="38">
        <f t="shared" si="7"/>
        <v>4.8</v>
      </c>
      <c r="U32" s="38">
        <f t="shared" si="8"/>
        <v>0.6</v>
      </c>
      <c r="V32" s="38">
        <f t="shared" si="9"/>
        <v>1.3</v>
      </c>
      <c r="W32" s="39">
        <v>0</v>
      </c>
      <c r="X32" s="38">
        <f t="shared" si="4"/>
        <v>0</v>
      </c>
      <c r="Y32" s="38">
        <v>0</v>
      </c>
      <c r="Z32" s="38">
        <v>0</v>
      </c>
      <c r="AA32" s="38">
        <v>0</v>
      </c>
      <c r="AB32" s="40">
        <f t="shared" si="10"/>
        <v>6.6999999999999993</v>
      </c>
      <c r="AC32" s="41">
        <f t="shared" si="11"/>
        <v>123.3</v>
      </c>
      <c r="AD32" s="7"/>
      <c r="AE32" s="7"/>
    </row>
    <row r="33" spans="1:31" x14ac:dyDescent="0.25">
      <c r="A33" s="28">
        <v>26</v>
      </c>
      <c r="B33" s="29" t="s">
        <v>104</v>
      </c>
      <c r="C33" s="29" t="s">
        <v>105</v>
      </c>
      <c r="D33" s="29" t="s">
        <v>106</v>
      </c>
      <c r="E33" s="30">
        <v>130</v>
      </c>
      <c r="F33" s="31">
        <f t="shared" si="5"/>
        <v>4.333333333333333</v>
      </c>
      <c r="G33" s="32">
        <f t="shared" si="0"/>
        <v>0.54166666666666663</v>
      </c>
      <c r="H33" s="32">
        <f t="shared" si="1"/>
        <v>30</v>
      </c>
      <c r="I33" s="43"/>
      <c r="J33" s="34">
        <v>30</v>
      </c>
      <c r="K33" s="35">
        <v>0</v>
      </c>
      <c r="L33" s="34">
        <f t="shared" si="2"/>
        <v>0</v>
      </c>
      <c r="M33" s="34">
        <v>0</v>
      </c>
      <c r="N33" s="34"/>
      <c r="O33" s="34">
        <f t="shared" si="3"/>
        <v>130</v>
      </c>
      <c r="P33" s="36">
        <v>130</v>
      </c>
      <c r="Q33" s="36">
        <v>8717.4</v>
      </c>
      <c r="R33" s="37">
        <v>3874.4</v>
      </c>
      <c r="S33" s="36">
        <f t="shared" si="6"/>
        <v>12721.8</v>
      </c>
      <c r="T33" s="38">
        <f t="shared" si="7"/>
        <v>4.8</v>
      </c>
      <c r="U33" s="38">
        <f t="shared" si="8"/>
        <v>0.6</v>
      </c>
      <c r="V33" s="38">
        <f t="shared" si="9"/>
        <v>1.3</v>
      </c>
      <c r="W33" s="39">
        <v>0</v>
      </c>
      <c r="X33" s="38">
        <f t="shared" si="4"/>
        <v>0</v>
      </c>
      <c r="Y33" s="38">
        <v>0</v>
      </c>
      <c r="Z33" s="38">
        <v>0</v>
      </c>
      <c r="AA33" s="38">
        <v>0</v>
      </c>
      <c r="AB33" s="40">
        <f t="shared" si="10"/>
        <v>6.6999999999999993</v>
      </c>
      <c r="AC33" s="41">
        <f t="shared" si="11"/>
        <v>123.3</v>
      </c>
      <c r="AD33" s="7"/>
      <c r="AE33" s="7"/>
    </row>
    <row r="34" spans="1:31" x14ac:dyDescent="0.25">
      <c r="A34" s="28">
        <v>27</v>
      </c>
      <c r="B34" s="29" t="s">
        <v>107</v>
      </c>
      <c r="C34" s="29" t="s">
        <v>108</v>
      </c>
      <c r="D34" s="29" t="s">
        <v>78</v>
      </c>
      <c r="E34" s="30">
        <v>130</v>
      </c>
      <c r="F34" s="31">
        <f t="shared" si="5"/>
        <v>4.333333333333333</v>
      </c>
      <c r="G34" s="32">
        <f t="shared" si="0"/>
        <v>0.54166666666666663</v>
      </c>
      <c r="H34" s="32">
        <f t="shared" si="1"/>
        <v>30</v>
      </c>
      <c r="I34" s="43"/>
      <c r="J34" s="34">
        <v>30</v>
      </c>
      <c r="K34" s="35">
        <v>0</v>
      </c>
      <c r="L34" s="34">
        <f t="shared" si="2"/>
        <v>0</v>
      </c>
      <c r="M34" s="34">
        <v>0</v>
      </c>
      <c r="N34" s="34"/>
      <c r="O34" s="34">
        <f t="shared" si="3"/>
        <v>130</v>
      </c>
      <c r="P34" s="36">
        <v>130</v>
      </c>
      <c r="Q34" s="36">
        <v>8717.4</v>
      </c>
      <c r="R34" s="37">
        <v>3874.4</v>
      </c>
      <c r="S34" s="36">
        <f t="shared" si="6"/>
        <v>12721.8</v>
      </c>
      <c r="T34" s="38">
        <f t="shared" si="7"/>
        <v>4.8</v>
      </c>
      <c r="U34" s="38">
        <f t="shared" si="8"/>
        <v>0.6</v>
      </c>
      <c r="V34" s="38">
        <f t="shared" si="9"/>
        <v>1.3</v>
      </c>
      <c r="W34" s="39">
        <v>0</v>
      </c>
      <c r="X34" s="38">
        <f t="shared" si="4"/>
        <v>0</v>
      </c>
      <c r="Y34" s="38">
        <v>0</v>
      </c>
      <c r="Z34" s="38">
        <v>0</v>
      </c>
      <c r="AA34" s="38">
        <v>0</v>
      </c>
      <c r="AB34" s="40">
        <f t="shared" si="10"/>
        <v>6.6999999999999993</v>
      </c>
      <c r="AC34" s="41">
        <f t="shared" si="11"/>
        <v>123.3</v>
      </c>
      <c r="AD34" s="7"/>
      <c r="AE34" s="7"/>
    </row>
    <row r="35" spans="1:31" x14ac:dyDescent="0.25">
      <c r="A35" s="28">
        <v>28</v>
      </c>
      <c r="B35" s="29" t="s">
        <v>109</v>
      </c>
      <c r="C35" s="29" t="s">
        <v>110</v>
      </c>
      <c r="D35" s="29" t="s">
        <v>53</v>
      </c>
      <c r="E35" s="30">
        <v>130</v>
      </c>
      <c r="F35" s="31">
        <f t="shared" si="5"/>
        <v>4.333333333333333</v>
      </c>
      <c r="G35" s="32">
        <f t="shared" si="0"/>
        <v>0.54166666666666663</v>
      </c>
      <c r="H35" s="32">
        <f t="shared" si="1"/>
        <v>30</v>
      </c>
      <c r="I35" s="43"/>
      <c r="J35" s="34">
        <v>30</v>
      </c>
      <c r="K35" s="35">
        <v>0</v>
      </c>
      <c r="L35" s="34">
        <f t="shared" si="2"/>
        <v>0</v>
      </c>
      <c r="M35" s="34">
        <v>0</v>
      </c>
      <c r="N35" s="34"/>
      <c r="O35" s="34">
        <f t="shared" si="3"/>
        <v>130</v>
      </c>
      <c r="P35" s="36">
        <v>130</v>
      </c>
      <c r="Q35" s="36">
        <v>8717.4</v>
      </c>
      <c r="R35" s="37">
        <v>3874.4</v>
      </c>
      <c r="S35" s="36">
        <f t="shared" si="6"/>
        <v>12721.8</v>
      </c>
      <c r="T35" s="38">
        <f t="shared" si="7"/>
        <v>4.8</v>
      </c>
      <c r="U35" s="38">
        <f t="shared" si="8"/>
        <v>0.6</v>
      </c>
      <c r="V35" s="38">
        <f t="shared" si="9"/>
        <v>1.3</v>
      </c>
      <c r="W35" s="39">
        <v>0</v>
      </c>
      <c r="X35" s="38">
        <f t="shared" si="4"/>
        <v>0</v>
      </c>
      <c r="Y35" s="38">
        <v>0</v>
      </c>
      <c r="Z35" s="38">
        <v>0</v>
      </c>
      <c r="AA35" s="38">
        <v>0</v>
      </c>
      <c r="AB35" s="40">
        <f t="shared" si="10"/>
        <v>6.6999999999999993</v>
      </c>
      <c r="AC35" s="41">
        <f t="shared" si="11"/>
        <v>123.3</v>
      </c>
      <c r="AD35" s="7"/>
      <c r="AE35" s="7"/>
    </row>
    <row r="36" spans="1:31" x14ac:dyDescent="0.25">
      <c r="A36" s="28">
        <v>29</v>
      </c>
      <c r="B36" s="29" t="s">
        <v>111</v>
      </c>
      <c r="C36" s="29" t="s">
        <v>112</v>
      </c>
      <c r="D36" s="29" t="s">
        <v>70</v>
      </c>
      <c r="E36" s="30">
        <v>130</v>
      </c>
      <c r="F36" s="31">
        <f t="shared" si="5"/>
        <v>4.333333333333333</v>
      </c>
      <c r="G36" s="32">
        <f t="shared" si="0"/>
        <v>0.54166666666666663</v>
      </c>
      <c r="H36" s="32">
        <f t="shared" si="1"/>
        <v>30</v>
      </c>
      <c r="I36" s="43"/>
      <c r="J36" s="34">
        <v>30</v>
      </c>
      <c r="K36" s="35">
        <v>0</v>
      </c>
      <c r="L36" s="34">
        <f t="shared" si="2"/>
        <v>0</v>
      </c>
      <c r="M36" s="34">
        <v>0</v>
      </c>
      <c r="N36" s="34"/>
      <c r="O36" s="34">
        <f t="shared" si="3"/>
        <v>130</v>
      </c>
      <c r="P36" s="36">
        <v>130</v>
      </c>
      <c r="Q36" s="36">
        <v>8717.4</v>
      </c>
      <c r="R36" s="37">
        <v>3874.4</v>
      </c>
      <c r="S36" s="36">
        <f t="shared" si="6"/>
        <v>12721.8</v>
      </c>
      <c r="T36" s="38">
        <f t="shared" si="7"/>
        <v>4.8</v>
      </c>
      <c r="U36" s="38">
        <f t="shared" si="8"/>
        <v>0.6</v>
      </c>
      <c r="V36" s="38">
        <f t="shared" si="9"/>
        <v>1.3</v>
      </c>
      <c r="W36" s="39">
        <v>0</v>
      </c>
      <c r="X36" s="38">
        <f t="shared" si="4"/>
        <v>0</v>
      </c>
      <c r="Y36" s="38">
        <v>0</v>
      </c>
      <c r="Z36" s="38">
        <v>0</v>
      </c>
      <c r="AA36" s="38">
        <v>0</v>
      </c>
      <c r="AB36" s="40">
        <f t="shared" si="10"/>
        <v>6.6999999999999993</v>
      </c>
      <c r="AC36" s="41">
        <f t="shared" si="11"/>
        <v>123.3</v>
      </c>
      <c r="AD36" s="7"/>
      <c r="AE36" s="7"/>
    </row>
    <row r="37" spans="1:31" x14ac:dyDescent="0.25">
      <c r="A37" s="28">
        <v>30</v>
      </c>
      <c r="B37" s="29" t="s">
        <v>113</v>
      </c>
      <c r="C37" s="29" t="s">
        <v>114</v>
      </c>
      <c r="D37" s="29" t="s">
        <v>115</v>
      </c>
      <c r="E37" s="30">
        <v>130</v>
      </c>
      <c r="F37" s="31">
        <f t="shared" si="5"/>
        <v>4.333333333333333</v>
      </c>
      <c r="G37" s="32">
        <f t="shared" si="0"/>
        <v>0.54166666666666663</v>
      </c>
      <c r="H37" s="32">
        <f t="shared" si="1"/>
        <v>30</v>
      </c>
      <c r="I37" s="43"/>
      <c r="J37" s="34">
        <v>30</v>
      </c>
      <c r="K37" s="35">
        <v>0</v>
      </c>
      <c r="L37" s="34">
        <f t="shared" si="2"/>
        <v>0</v>
      </c>
      <c r="M37" s="34">
        <v>0</v>
      </c>
      <c r="N37" s="34"/>
      <c r="O37" s="34">
        <f t="shared" si="3"/>
        <v>130</v>
      </c>
      <c r="P37" s="36">
        <v>130</v>
      </c>
      <c r="Q37" s="36">
        <v>8717.4</v>
      </c>
      <c r="R37" s="37">
        <v>3874.4</v>
      </c>
      <c r="S37" s="36">
        <f t="shared" si="6"/>
        <v>12721.8</v>
      </c>
      <c r="T37" s="38">
        <f t="shared" si="7"/>
        <v>4.8</v>
      </c>
      <c r="U37" s="38">
        <f t="shared" si="8"/>
        <v>0.6</v>
      </c>
      <c r="V37" s="38">
        <f t="shared" si="9"/>
        <v>1.3</v>
      </c>
      <c r="W37" s="39">
        <v>0</v>
      </c>
      <c r="X37" s="38">
        <f t="shared" si="4"/>
        <v>0</v>
      </c>
      <c r="Y37" s="38">
        <v>0</v>
      </c>
      <c r="Z37" s="38">
        <v>0</v>
      </c>
      <c r="AA37" s="38">
        <v>0</v>
      </c>
      <c r="AB37" s="40">
        <f t="shared" si="10"/>
        <v>6.6999999999999993</v>
      </c>
      <c r="AC37" s="41">
        <f t="shared" si="11"/>
        <v>123.3</v>
      </c>
      <c r="AD37" s="7"/>
      <c r="AE37" s="7"/>
    </row>
    <row r="38" spans="1:31" x14ac:dyDescent="0.25">
      <c r="A38" s="28"/>
      <c r="B38" s="29"/>
      <c r="C38" s="29"/>
      <c r="D38" s="29"/>
      <c r="E38" s="30"/>
      <c r="F38" s="31"/>
      <c r="G38" s="32"/>
      <c r="H38" s="32"/>
      <c r="I38" s="43"/>
      <c r="J38" s="34"/>
      <c r="K38" s="35"/>
      <c r="L38" s="34"/>
      <c r="M38" s="34"/>
      <c r="N38" s="34"/>
      <c r="O38" s="34"/>
      <c r="P38" s="36"/>
      <c r="Q38" s="36"/>
      <c r="R38" s="37"/>
      <c r="S38" s="36"/>
      <c r="T38" s="38"/>
      <c r="U38" s="38"/>
      <c r="V38" s="38">
        <f t="shared" si="9"/>
        <v>0</v>
      </c>
      <c r="W38" s="39"/>
      <c r="X38" s="38"/>
      <c r="Y38" s="38"/>
      <c r="Z38" s="38"/>
      <c r="AA38" s="38"/>
      <c r="AB38" s="40"/>
      <c r="AC38" s="41"/>
      <c r="AD38" s="7"/>
      <c r="AE38" s="7"/>
    </row>
    <row r="39" spans="1:31" x14ac:dyDescent="0.25">
      <c r="A39" s="28"/>
      <c r="B39" s="29"/>
      <c r="C39" s="29"/>
      <c r="D39" s="29"/>
      <c r="E39" s="30"/>
      <c r="F39" s="31"/>
      <c r="G39" s="32"/>
      <c r="H39" s="32"/>
      <c r="I39" s="43"/>
      <c r="J39" s="34"/>
      <c r="K39" s="35"/>
      <c r="L39" s="34"/>
      <c r="M39" s="34"/>
      <c r="N39" s="34"/>
      <c r="O39" s="34"/>
      <c r="P39" s="36"/>
      <c r="Q39" s="36"/>
      <c r="R39" s="37"/>
      <c r="S39" s="36"/>
      <c r="T39" s="38"/>
      <c r="U39" s="38"/>
      <c r="V39" s="38"/>
      <c r="W39" s="39"/>
      <c r="X39" s="38"/>
      <c r="Y39" s="38"/>
      <c r="Z39" s="38"/>
      <c r="AA39" s="38"/>
      <c r="AB39" s="40"/>
      <c r="AC39" s="41"/>
      <c r="AD39" s="7"/>
      <c r="AE39" s="7"/>
    </row>
    <row r="40" spans="1:31" x14ac:dyDescent="0.25">
      <c r="A40" s="28"/>
      <c r="B40" s="44"/>
      <c r="C40" s="45"/>
      <c r="D40" s="28"/>
      <c r="E40" s="46">
        <f>SUM(E8:E39)</f>
        <v>3900</v>
      </c>
      <c r="F40" s="47">
        <f>SUM(F8:F39)</f>
        <v>129.99999999999994</v>
      </c>
      <c r="G40" s="47">
        <f>SUM(G8:G39)</f>
        <v>16.249999999999993</v>
      </c>
      <c r="H40" s="47">
        <f>SUM(H8:H39)</f>
        <v>900</v>
      </c>
      <c r="I40" s="48"/>
      <c r="J40" s="49"/>
      <c r="K40" s="46"/>
      <c r="L40" s="46"/>
      <c r="M40" s="46">
        <f t="shared" ref="M40:V40" si="12">SUM(M8:M39)</f>
        <v>0</v>
      </c>
      <c r="N40" s="46">
        <f t="shared" si="12"/>
        <v>0</v>
      </c>
      <c r="O40" s="46">
        <f t="shared" si="12"/>
        <v>3900</v>
      </c>
      <c r="P40" s="46">
        <f t="shared" si="12"/>
        <v>3900</v>
      </c>
      <c r="Q40" s="46">
        <f>SUM(Q8:Q39)</f>
        <v>261521.99999999988</v>
      </c>
      <c r="R40" s="50">
        <f>SUM(R8:R39)</f>
        <v>116231.99999999994</v>
      </c>
      <c r="S40" s="46">
        <f t="shared" si="12"/>
        <v>381653.99999999983</v>
      </c>
      <c r="T40" s="46">
        <f t="shared" si="12"/>
        <v>145.19999999999999</v>
      </c>
      <c r="U40" s="51">
        <f t="shared" si="12"/>
        <v>18.149999999999999</v>
      </c>
      <c r="V40" s="46">
        <f t="shared" si="12"/>
        <v>38.999999999999993</v>
      </c>
      <c r="W40" s="39">
        <v>0</v>
      </c>
      <c r="X40" s="38">
        <f t="shared" si="4"/>
        <v>0</v>
      </c>
      <c r="Y40" s="38">
        <v>0</v>
      </c>
      <c r="Z40" s="38">
        <v>0</v>
      </c>
      <c r="AA40" s="38">
        <v>0</v>
      </c>
      <c r="AB40" s="46">
        <f>SUM(AB8:AB39)</f>
        <v>202.34999999999991</v>
      </c>
      <c r="AC40" s="50">
        <f>SUM(AC8:AC39)</f>
        <v>3697.6500000000019</v>
      </c>
      <c r="AD40" s="42"/>
      <c r="AE40" s="42"/>
    </row>
    <row r="41" spans="1:31" x14ac:dyDescent="0.25">
      <c r="A41" s="52"/>
      <c r="B41" s="147"/>
      <c r="C41" s="147"/>
      <c r="D41" s="147"/>
      <c r="E41" s="52"/>
      <c r="F41" s="53"/>
      <c r="G41" s="53"/>
      <c r="H41" s="53"/>
      <c r="I41" s="52"/>
      <c r="J41" s="52"/>
      <c r="K41" s="52"/>
      <c r="L41" s="52"/>
      <c r="M41" s="52"/>
      <c r="N41" s="52"/>
      <c r="O41" s="52"/>
      <c r="P41" s="16"/>
      <c r="Q41" s="16"/>
      <c r="R41" s="16"/>
      <c r="S41" s="54">
        <f>+S40*9%</f>
        <v>34348.859999999986</v>
      </c>
      <c r="T41" s="7"/>
      <c r="U41" s="55"/>
      <c r="V41" s="7"/>
      <c r="W41" s="7"/>
      <c r="X41" s="7"/>
      <c r="Y41" s="7"/>
      <c r="Z41" s="7"/>
      <c r="AA41" s="7"/>
      <c r="AB41" s="7"/>
      <c r="AC41" s="7"/>
      <c r="AD41" s="42"/>
      <c r="AE41" s="7"/>
    </row>
    <row r="42" spans="1:31" x14ac:dyDescent="0.25">
      <c r="A42" s="7"/>
      <c r="B42" s="56" t="s">
        <v>116</v>
      </c>
      <c r="C42" s="57"/>
      <c r="D42" s="57"/>
      <c r="E42" s="58"/>
      <c r="F42" s="57"/>
      <c r="G42" s="21"/>
      <c r="H42" s="57"/>
      <c r="I42" s="59"/>
      <c r="J42" s="57"/>
      <c r="K42" s="57"/>
      <c r="L42" s="57"/>
      <c r="M42" s="16"/>
      <c r="N42" s="16"/>
      <c r="O42" s="60"/>
      <c r="P42" s="11"/>
      <c r="Q42" s="61"/>
      <c r="R42" s="62"/>
      <c r="S42" s="63" t="s">
        <v>117</v>
      </c>
      <c r="T42" s="62"/>
      <c r="U42" s="62"/>
      <c r="V42" s="62"/>
      <c r="W42" s="62"/>
      <c r="X42" s="62"/>
      <c r="Y42" s="62"/>
      <c r="Z42" s="62"/>
      <c r="AA42" s="62"/>
      <c r="AB42" s="62"/>
      <c r="AC42" s="62">
        <f>+AC40</f>
        <v>3697.6500000000019</v>
      </c>
      <c r="AD42" s="42"/>
      <c r="AE42" s="7"/>
    </row>
    <row r="43" spans="1:31" x14ac:dyDescent="0.25">
      <c r="A43" s="7"/>
      <c r="B43" s="64"/>
      <c r="C43" s="65"/>
      <c r="D43" s="57"/>
      <c r="E43" s="65"/>
      <c r="F43" s="66"/>
      <c r="G43" s="66"/>
      <c r="H43" s="66"/>
      <c r="I43" s="67"/>
      <c r="J43" s="11"/>
      <c r="K43" s="11"/>
      <c r="L43" s="11"/>
      <c r="M43" s="11"/>
      <c r="N43" s="11"/>
      <c r="O43" s="11"/>
      <c r="P43" s="11"/>
      <c r="Q43" s="11"/>
      <c r="R43" s="68"/>
      <c r="S43" s="69" t="s">
        <v>118</v>
      </c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</row>
    <row r="44" spans="1:31" x14ac:dyDescent="0.25">
      <c r="A44" s="7"/>
      <c r="B44" s="70"/>
      <c r="C44" s="7"/>
      <c r="D44" s="21"/>
      <c r="E44" s="7"/>
      <c r="F44" s="21"/>
      <c r="G44" s="21"/>
      <c r="H44" s="21"/>
      <c r="I44" s="71"/>
      <c r="J44" s="7"/>
      <c r="K44" s="7"/>
      <c r="L44" s="7"/>
      <c r="M44" s="7"/>
      <c r="N44" s="7"/>
      <c r="O44" s="7"/>
      <c r="P44" s="11"/>
      <c r="Q44" s="11"/>
      <c r="R44" s="11"/>
      <c r="S44" s="11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25">
      <c r="A45" s="7"/>
      <c r="B45" s="64"/>
      <c r="C45" s="65"/>
      <c r="D45" s="66"/>
      <c r="E45" s="65"/>
      <c r="F45" s="66"/>
      <c r="G45" s="66"/>
      <c r="H45" s="66"/>
      <c r="I45" s="67"/>
      <c r="J45" s="65"/>
      <c r="K45" s="65"/>
      <c r="L45" s="65"/>
      <c r="M45" s="65"/>
      <c r="N45" s="7"/>
      <c r="O45" s="7"/>
      <c r="P45" s="11"/>
      <c r="Q45" s="11"/>
      <c r="R45" s="11"/>
      <c r="S45" s="11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</sheetData>
  <mergeCells count="21">
    <mergeCell ref="V6:V7"/>
    <mergeCell ref="AA6:AA7"/>
    <mergeCell ref="AB6:AB7"/>
    <mergeCell ref="B41:D41"/>
    <mergeCell ref="O6:O7"/>
    <mergeCell ref="P6:P7"/>
    <mergeCell ref="Q6:Q7"/>
    <mergeCell ref="R6:R7"/>
    <mergeCell ref="S6:S7"/>
    <mergeCell ref="T6:T7"/>
    <mergeCell ref="T2:T4"/>
    <mergeCell ref="U2:U4"/>
    <mergeCell ref="J4:O4"/>
    <mergeCell ref="A6:A7"/>
    <mergeCell ref="B6:B7"/>
    <mergeCell ref="C6:C7"/>
    <mergeCell ref="D6:D7"/>
    <mergeCell ref="E6:E7"/>
    <mergeCell ref="I6:I7"/>
    <mergeCell ref="J6:J7"/>
    <mergeCell ref="U6:U7"/>
  </mergeCells>
  <pageMargins left="0.7" right="0.7" top="0.75" bottom="0.75" header="0.3" footer="0.3"/>
  <pageSetup paperSize="9" scale="3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4"/>
  <sheetViews>
    <sheetView topLeftCell="F1" workbookViewId="0">
      <selection activeCell="W56" sqref="W56"/>
    </sheetView>
  </sheetViews>
  <sheetFormatPr baseColWidth="10" defaultRowHeight="15" x14ac:dyDescent="0.25"/>
  <cols>
    <col min="2" max="2" width="23.42578125" customWidth="1"/>
    <col min="3" max="3" width="14.7109375" customWidth="1"/>
    <col min="4" max="4" width="17.140625" customWidth="1"/>
  </cols>
  <sheetData>
    <row r="1" spans="1:31" ht="15.75" thickBot="1" x14ac:dyDescent="0.3"/>
    <row r="2" spans="1:31" ht="15.75" thickTop="1" x14ac:dyDescent="0.25">
      <c r="A2" s="6"/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9"/>
      <c r="O2" s="10"/>
      <c r="P2" s="11"/>
      <c r="Q2" s="11"/>
      <c r="R2" s="11"/>
      <c r="S2" s="11"/>
      <c r="T2" s="134">
        <f>130*5</f>
        <v>650</v>
      </c>
      <c r="U2" s="137">
        <f>130*5</f>
        <v>650</v>
      </c>
      <c r="V2" s="10"/>
      <c r="W2" s="10"/>
      <c r="X2" s="10"/>
      <c r="Y2" s="10"/>
      <c r="Z2" s="10"/>
      <c r="AA2" s="10"/>
      <c r="AB2" s="12"/>
      <c r="AC2" s="13"/>
      <c r="AD2" s="7"/>
      <c r="AE2" s="7"/>
    </row>
    <row r="3" spans="1:31" x14ac:dyDescent="0.25">
      <c r="A3" s="6"/>
      <c r="B3" s="14"/>
      <c r="C3" s="7"/>
      <c r="D3" s="7"/>
      <c r="E3" s="7"/>
      <c r="F3" s="15" t="s">
        <v>119</v>
      </c>
      <c r="G3" s="16"/>
      <c r="H3" s="17"/>
      <c r="I3" s="16"/>
      <c r="J3" s="15"/>
      <c r="K3" s="8"/>
      <c r="L3" s="8"/>
      <c r="M3" s="8"/>
      <c r="N3" s="9"/>
      <c r="O3" s="10"/>
      <c r="P3" s="11"/>
      <c r="Q3" s="11"/>
      <c r="R3" s="11" t="s">
        <v>1</v>
      </c>
      <c r="S3" s="11"/>
      <c r="T3" s="135"/>
      <c r="U3" s="138"/>
      <c r="V3" s="10"/>
      <c r="W3" s="10"/>
      <c r="X3" s="10"/>
      <c r="Y3" s="10"/>
      <c r="Z3" s="10"/>
      <c r="AA3" s="10"/>
      <c r="AB3" s="12"/>
      <c r="AC3" s="13"/>
      <c r="AD3" s="7"/>
      <c r="AE3" s="7"/>
    </row>
    <row r="4" spans="1:31" ht="15.75" thickBot="1" x14ac:dyDescent="0.3">
      <c r="A4" s="18"/>
      <c r="B4" s="19"/>
      <c r="C4" s="20"/>
      <c r="D4" s="21"/>
      <c r="E4" s="10"/>
      <c r="F4" s="21"/>
      <c r="G4" s="21"/>
      <c r="H4" s="21"/>
      <c r="I4" s="10"/>
      <c r="J4" s="140"/>
      <c r="K4" s="140"/>
      <c r="L4" s="140"/>
      <c r="M4" s="140"/>
      <c r="N4" s="140"/>
      <c r="O4" s="140"/>
      <c r="P4" s="11"/>
      <c r="Q4" s="22">
        <v>90</v>
      </c>
      <c r="R4" s="22">
        <v>40</v>
      </c>
      <c r="S4" s="11"/>
      <c r="T4" s="136"/>
      <c r="U4" s="139"/>
      <c r="V4" s="10"/>
      <c r="W4" s="10"/>
      <c r="X4" s="10"/>
      <c r="Y4" s="10"/>
      <c r="Z4" s="10"/>
      <c r="AA4" s="10"/>
      <c r="AB4" s="10"/>
      <c r="AC4" s="23"/>
      <c r="AD4" s="7"/>
      <c r="AE4" s="7"/>
    </row>
    <row r="5" spans="1:31" ht="16.5" thickTop="1" thickBot="1" x14ac:dyDescent="0.3">
      <c r="A5" s="20"/>
      <c r="B5" s="19" t="s">
        <v>2</v>
      </c>
      <c r="C5" s="20"/>
      <c r="D5" s="21"/>
      <c r="E5" s="10"/>
      <c r="F5" s="21"/>
      <c r="G5" s="21"/>
      <c r="H5" s="21"/>
      <c r="I5" s="10"/>
      <c r="J5" s="10"/>
      <c r="K5" s="10"/>
      <c r="L5" s="10"/>
      <c r="M5" s="10"/>
      <c r="N5" s="10"/>
      <c r="O5" s="10"/>
      <c r="P5" s="24" t="s">
        <v>3</v>
      </c>
      <c r="Q5" s="25">
        <v>107.62</v>
      </c>
      <c r="R5" s="26">
        <v>107.62</v>
      </c>
      <c r="S5" s="11"/>
      <c r="T5" s="27">
        <v>5</v>
      </c>
      <c r="U5" s="27">
        <v>5</v>
      </c>
      <c r="V5" s="10"/>
      <c r="W5" s="10"/>
      <c r="X5" s="10"/>
      <c r="Y5" s="10"/>
      <c r="Z5" s="10"/>
      <c r="AA5" s="10"/>
      <c r="AB5" s="10"/>
      <c r="AC5" s="23"/>
      <c r="AD5" s="7"/>
      <c r="AE5" s="7"/>
    </row>
    <row r="6" spans="1:31" ht="45" x14ac:dyDescent="0.25">
      <c r="A6" s="141"/>
      <c r="B6" s="143" t="s">
        <v>4</v>
      </c>
      <c r="C6" s="143" t="s">
        <v>5</v>
      </c>
      <c r="D6" s="143" t="s">
        <v>6</v>
      </c>
      <c r="E6" s="144" t="s">
        <v>7</v>
      </c>
      <c r="F6" s="1" t="s">
        <v>8</v>
      </c>
      <c r="G6" s="2" t="s">
        <v>8</v>
      </c>
      <c r="H6" s="2" t="s">
        <v>9</v>
      </c>
      <c r="I6" s="143" t="s">
        <v>10</v>
      </c>
      <c r="J6" s="143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43" t="s">
        <v>16</v>
      </c>
      <c r="P6" s="148" t="s">
        <v>17</v>
      </c>
      <c r="Q6" s="148" t="s">
        <v>18</v>
      </c>
      <c r="R6" s="148" t="s">
        <v>19</v>
      </c>
      <c r="S6" s="149" t="s">
        <v>20</v>
      </c>
      <c r="T6" s="145" t="s">
        <v>21</v>
      </c>
      <c r="U6" s="145" t="s">
        <v>22</v>
      </c>
      <c r="V6" s="145" t="s">
        <v>23</v>
      </c>
      <c r="W6" s="3" t="s">
        <v>24</v>
      </c>
      <c r="X6" s="3" t="s">
        <v>25</v>
      </c>
      <c r="Y6" s="3" t="s">
        <v>26</v>
      </c>
      <c r="Z6" s="3" t="s">
        <v>27</v>
      </c>
      <c r="AA6" s="146" t="s">
        <v>28</v>
      </c>
      <c r="AB6" s="143" t="s">
        <v>29</v>
      </c>
      <c r="AC6" s="1" t="s">
        <v>30</v>
      </c>
      <c r="AD6" s="7"/>
      <c r="AE6" s="7"/>
    </row>
    <row r="7" spans="1:31" ht="30.75" thickBot="1" x14ac:dyDescent="0.3">
      <c r="A7" s="142"/>
      <c r="B7" s="143"/>
      <c r="C7" s="143"/>
      <c r="D7" s="143"/>
      <c r="E7" s="144"/>
      <c r="F7" s="1" t="s">
        <v>31</v>
      </c>
      <c r="G7" s="4" t="s">
        <v>32</v>
      </c>
      <c r="H7" s="4" t="s">
        <v>33</v>
      </c>
      <c r="I7" s="143"/>
      <c r="J7" s="143"/>
      <c r="K7" s="1" t="s">
        <v>34</v>
      </c>
      <c r="L7" s="1"/>
      <c r="M7" s="1" t="s">
        <v>35</v>
      </c>
      <c r="N7" s="1" t="s">
        <v>36</v>
      </c>
      <c r="O7" s="143"/>
      <c r="P7" s="149"/>
      <c r="Q7" s="149"/>
      <c r="R7" s="149"/>
      <c r="S7" s="149"/>
      <c r="T7" s="145"/>
      <c r="U7" s="145"/>
      <c r="V7" s="145"/>
      <c r="W7" s="5" t="s">
        <v>37</v>
      </c>
      <c r="X7" s="5" t="s">
        <v>37</v>
      </c>
      <c r="Y7" s="5"/>
      <c r="Z7" s="5"/>
      <c r="AA7" s="146"/>
      <c r="AB7" s="143"/>
      <c r="AC7" s="1" t="s">
        <v>38</v>
      </c>
      <c r="AD7" s="7"/>
      <c r="AE7" s="7"/>
    </row>
    <row r="8" spans="1:31" x14ac:dyDescent="0.25">
      <c r="A8" s="28">
        <v>1</v>
      </c>
      <c r="B8" s="29" t="s">
        <v>39</v>
      </c>
      <c r="C8" s="29" t="s">
        <v>40</v>
      </c>
      <c r="D8" s="29" t="s">
        <v>41</v>
      </c>
      <c r="E8" s="30">
        <v>130</v>
      </c>
      <c r="F8" s="31">
        <f>E8/30</f>
        <v>4.333333333333333</v>
      </c>
      <c r="G8" s="32">
        <f t="shared" ref="G8:G38" si="0">F8/8</f>
        <v>0.54166666666666663</v>
      </c>
      <c r="H8" s="32">
        <f t="shared" ref="H8:H38" si="1">E8*12/52</f>
        <v>30</v>
      </c>
      <c r="I8" s="33"/>
      <c r="J8" s="34">
        <v>30</v>
      </c>
      <c r="K8" s="35">
        <v>0</v>
      </c>
      <c r="L8" s="34">
        <f t="shared" ref="L8:L37" si="2">F8*1.5*0</f>
        <v>0</v>
      </c>
      <c r="M8" s="34">
        <v>0</v>
      </c>
      <c r="N8" s="34"/>
      <c r="O8" s="34">
        <v>130</v>
      </c>
      <c r="P8" s="36">
        <v>130</v>
      </c>
      <c r="Q8" s="36">
        <v>9685.7999999999993</v>
      </c>
      <c r="R8" s="37">
        <v>4304.8</v>
      </c>
      <c r="S8" s="36">
        <f>+P8+Q8+R8</f>
        <v>14120.599999999999</v>
      </c>
      <c r="T8" s="38">
        <f>E8*12/52*4%*5</f>
        <v>6</v>
      </c>
      <c r="U8" s="38">
        <f>E8*12/52*0.5%*5</f>
        <v>0.75</v>
      </c>
      <c r="V8" s="38">
        <f>P8*1%</f>
        <v>1.3</v>
      </c>
      <c r="W8" s="39">
        <v>0</v>
      </c>
      <c r="X8" s="38">
        <f t="shared" ref="X8:X39" si="3">E8*W8</f>
        <v>0</v>
      </c>
      <c r="Y8" s="38">
        <v>0</v>
      </c>
      <c r="Z8" s="38">
        <v>0</v>
      </c>
      <c r="AA8" s="38">
        <v>0</v>
      </c>
      <c r="AB8" s="40">
        <f>T8+U8+V8</f>
        <v>8.0500000000000007</v>
      </c>
      <c r="AC8" s="41">
        <f>+O8-AB8</f>
        <v>121.95</v>
      </c>
      <c r="AD8" s="42"/>
      <c r="AE8" s="42"/>
    </row>
    <row r="9" spans="1:31" x14ac:dyDescent="0.25">
      <c r="A9" s="28">
        <v>2</v>
      </c>
      <c r="B9" s="29" t="s">
        <v>42</v>
      </c>
      <c r="C9" s="29" t="s">
        <v>43</v>
      </c>
      <c r="D9" s="29" t="s">
        <v>44</v>
      </c>
      <c r="E9" s="30">
        <v>130</v>
      </c>
      <c r="F9" s="31">
        <f t="shared" ref="F9:F38" si="4">E9/30</f>
        <v>4.333333333333333</v>
      </c>
      <c r="G9" s="32">
        <f t="shared" si="0"/>
        <v>0.54166666666666663</v>
      </c>
      <c r="H9" s="32">
        <f t="shared" si="1"/>
        <v>30</v>
      </c>
      <c r="I9" s="33"/>
      <c r="J9" s="34">
        <v>30</v>
      </c>
      <c r="K9" s="35">
        <v>0</v>
      </c>
      <c r="L9" s="34">
        <f t="shared" si="2"/>
        <v>0</v>
      </c>
      <c r="M9" s="34">
        <v>0</v>
      </c>
      <c r="N9" s="34"/>
      <c r="O9" s="34">
        <f t="shared" ref="O9:O35" si="5">F9*J9</f>
        <v>130</v>
      </c>
      <c r="P9" s="36">
        <v>130</v>
      </c>
      <c r="Q9" s="36">
        <v>9685.7999999999993</v>
      </c>
      <c r="R9" s="37">
        <v>4304.8</v>
      </c>
      <c r="S9" s="36">
        <f t="shared" ref="S9:S38" si="6">+P9+Q9+R9</f>
        <v>14120.599999999999</v>
      </c>
      <c r="T9" s="38">
        <f t="shared" ref="T9:T38" si="7">E9*12/52*4%*5</f>
        <v>6</v>
      </c>
      <c r="U9" s="38">
        <f t="shared" ref="U9:U38" si="8">E9*12/52*0.5%*5</f>
        <v>0.75</v>
      </c>
      <c r="V9" s="38">
        <f t="shared" ref="V9:V38" si="9">P9*1%</f>
        <v>1.3</v>
      </c>
      <c r="W9" s="39">
        <v>0</v>
      </c>
      <c r="X9" s="38">
        <f t="shared" si="3"/>
        <v>0</v>
      </c>
      <c r="Y9" s="38">
        <v>0</v>
      </c>
      <c r="Z9" s="38">
        <v>0</v>
      </c>
      <c r="AA9" s="38">
        <v>0</v>
      </c>
      <c r="AB9" s="40">
        <f t="shared" ref="AB9:AB38" si="10">T9+U9+V9</f>
        <v>8.0500000000000007</v>
      </c>
      <c r="AC9" s="41">
        <f t="shared" ref="AC9:AC38" si="11">+O9-AB9</f>
        <v>121.95</v>
      </c>
      <c r="AD9" s="42"/>
      <c r="AE9" s="42"/>
    </row>
    <row r="10" spans="1:31" x14ac:dyDescent="0.25">
      <c r="A10" s="28">
        <v>3</v>
      </c>
      <c r="B10" s="29" t="s">
        <v>45</v>
      </c>
      <c r="C10" s="29" t="s">
        <v>46</v>
      </c>
      <c r="D10" s="29" t="s">
        <v>47</v>
      </c>
      <c r="E10" s="30">
        <v>130</v>
      </c>
      <c r="F10" s="31">
        <f t="shared" si="4"/>
        <v>4.333333333333333</v>
      </c>
      <c r="G10" s="32">
        <f t="shared" si="0"/>
        <v>0.54166666666666663</v>
      </c>
      <c r="H10" s="32">
        <f t="shared" si="1"/>
        <v>30</v>
      </c>
      <c r="I10" s="33"/>
      <c r="J10" s="34">
        <v>30</v>
      </c>
      <c r="K10" s="35">
        <v>0</v>
      </c>
      <c r="L10" s="34">
        <f t="shared" si="2"/>
        <v>0</v>
      </c>
      <c r="M10" s="34">
        <v>0</v>
      </c>
      <c r="N10" s="34"/>
      <c r="O10" s="34">
        <f t="shared" si="5"/>
        <v>130</v>
      </c>
      <c r="P10" s="36">
        <v>130</v>
      </c>
      <c r="Q10" s="36">
        <v>9685.7999999999993</v>
      </c>
      <c r="R10" s="37">
        <v>4304.8</v>
      </c>
      <c r="S10" s="36">
        <f t="shared" si="6"/>
        <v>14120.599999999999</v>
      </c>
      <c r="T10" s="38">
        <f t="shared" si="7"/>
        <v>6</v>
      </c>
      <c r="U10" s="38">
        <f t="shared" si="8"/>
        <v>0.75</v>
      </c>
      <c r="V10" s="38">
        <f t="shared" si="9"/>
        <v>1.3</v>
      </c>
      <c r="W10" s="39">
        <v>0</v>
      </c>
      <c r="X10" s="38">
        <f t="shared" si="3"/>
        <v>0</v>
      </c>
      <c r="Y10" s="38">
        <v>0</v>
      </c>
      <c r="Z10" s="38">
        <v>0</v>
      </c>
      <c r="AA10" s="38">
        <v>0</v>
      </c>
      <c r="AB10" s="40">
        <f t="shared" si="10"/>
        <v>8.0500000000000007</v>
      </c>
      <c r="AC10" s="41">
        <f t="shared" si="11"/>
        <v>121.95</v>
      </c>
      <c r="AD10" s="42"/>
      <c r="AE10" s="42"/>
    </row>
    <row r="11" spans="1:31" x14ac:dyDescent="0.25">
      <c r="A11" s="28">
        <v>4</v>
      </c>
      <c r="B11" s="29" t="s">
        <v>48</v>
      </c>
      <c r="C11" s="29" t="s">
        <v>49</v>
      </c>
      <c r="D11" s="29" t="s">
        <v>50</v>
      </c>
      <c r="E11" s="30">
        <v>130</v>
      </c>
      <c r="F11" s="31">
        <f t="shared" si="4"/>
        <v>4.333333333333333</v>
      </c>
      <c r="G11" s="32">
        <f t="shared" si="0"/>
        <v>0.54166666666666663</v>
      </c>
      <c r="H11" s="32">
        <f t="shared" si="1"/>
        <v>30</v>
      </c>
      <c r="I11" s="43"/>
      <c r="J11" s="34">
        <v>30</v>
      </c>
      <c r="K11" s="35">
        <v>0</v>
      </c>
      <c r="L11" s="34">
        <f t="shared" si="2"/>
        <v>0</v>
      </c>
      <c r="M11" s="34">
        <v>0</v>
      </c>
      <c r="N11" s="34"/>
      <c r="O11" s="34">
        <f t="shared" si="5"/>
        <v>130</v>
      </c>
      <c r="P11" s="36">
        <v>130</v>
      </c>
      <c r="Q11" s="36">
        <v>9685.7999999999993</v>
      </c>
      <c r="R11" s="37">
        <v>4304.8</v>
      </c>
      <c r="S11" s="36">
        <f t="shared" si="6"/>
        <v>14120.599999999999</v>
      </c>
      <c r="T11" s="38">
        <f t="shared" si="7"/>
        <v>6</v>
      </c>
      <c r="U11" s="38">
        <f t="shared" si="8"/>
        <v>0.75</v>
      </c>
      <c r="V11" s="38">
        <f t="shared" si="9"/>
        <v>1.3</v>
      </c>
      <c r="W11" s="39">
        <v>0</v>
      </c>
      <c r="X11" s="38">
        <f t="shared" si="3"/>
        <v>0</v>
      </c>
      <c r="Y11" s="38">
        <v>0</v>
      </c>
      <c r="Z11" s="38">
        <v>0</v>
      </c>
      <c r="AA11" s="38">
        <v>0</v>
      </c>
      <c r="AB11" s="40">
        <f t="shared" si="10"/>
        <v>8.0500000000000007</v>
      </c>
      <c r="AC11" s="41">
        <f t="shared" si="11"/>
        <v>121.95</v>
      </c>
      <c r="AD11" s="7"/>
      <c r="AE11" s="7"/>
    </row>
    <row r="12" spans="1:31" x14ac:dyDescent="0.25">
      <c r="A12" s="28">
        <v>5</v>
      </c>
      <c r="B12" s="29" t="s">
        <v>51</v>
      </c>
      <c r="C12" s="29" t="s">
        <v>52</v>
      </c>
      <c r="D12" s="29" t="s">
        <v>53</v>
      </c>
      <c r="E12" s="30">
        <v>130</v>
      </c>
      <c r="F12" s="31">
        <f t="shared" si="4"/>
        <v>4.333333333333333</v>
      </c>
      <c r="G12" s="32">
        <f t="shared" si="0"/>
        <v>0.54166666666666663</v>
      </c>
      <c r="H12" s="32">
        <f t="shared" si="1"/>
        <v>30</v>
      </c>
      <c r="I12" s="43"/>
      <c r="J12" s="34">
        <v>30</v>
      </c>
      <c r="K12" s="35">
        <v>0</v>
      </c>
      <c r="L12" s="34">
        <f t="shared" si="2"/>
        <v>0</v>
      </c>
      <c r="M12" s="34">
        <v>0</v>
      </c>
      <c r="N12" s="34"/>
      <c r="O12" s="34">
        <f t="shared" si="5"/>
        <v>130</v>
      </c>
      <c r="P12" s="36">
        <v>130</v>
      </c>
      <c r="Q12" s="36">
        <v>9685.7999999999993</v>
      </c>
      <c r="R12" s="37">
        <v>4304.8</v>
      </c>
      <c r="S12" s="36">
        <f t="shared" si="6"/>
        <v>14120.599999999999</v>
      </c>
      <c r="T12" s="38">
        <f t="shared" si="7"/>
        <v>6</v>
      </c>
      <c r="U12" s="38">
        <f t="shared" si="8"/>
        <v>0.75</v>
      </c>
      <c r="V12" s="38">
        <f t="shared" si="9"/>
        <v>1.3</v>
      </c>
      <c r="W12" s="39">
        <v>0</v>
      </c>
      <c r="X12" s="38">
        <f t="shared" si="3"/>
        <v>0</v>
      </c>
      <c r="Y12" s="38">
        <v>0</v>
      </c>
      <c r="Z12" s="38">
        <v>0</v>
      </c>
      <c r="AA12" s="38">
        <v>0</v>
      </c>
      <c r="AB12" s="40">
        <f t="shared" si="10"/>
        <v>8.0500000000000007</v>
      </c>
      <c r="AC12" s="41">
        <f t="shared" si="11"/>
        <v>121.95</v>
      </c>
      <c r="AD12" s="7"/>
      <c r="AE12" s="7"/>
    </row>
    <row r="13" spans="1:31" x14ac:dyDescent="0.25">
      <c r="A13" s="28">
        <v>6</v>
      </c>
      <c r="B13" s="29" t="s">
        <v>57</v>
      </c>
      <c r="C13" s="29" t="s">
        <v>58</v>
      </c>
      <c r="D13" s="29" t="s">
        <v>59</v>
      </c>
      <c r="E13" s="30">
        <v>130</v>
      </c>
      <c r="F13" s="31">
        <f t="shared" si="4"/>
        <v>4.333333333333333</v>
      </c>
      <c r="G13" s="32">
        <f t="shared" si="0"/>
        <v>0.54166666666666663</v>
      </c>
      <c r="H13" s="32">
        <f t="shared" si="1"/>
        <v>30</v>
      </c>
      <c r="I13" s="43"/>
      <c r="J13" s="34">
        <v>30</v>
      </c>
      <c r="K13" s="35">
        <v>0</v>
      </c>
      <c r="L13" s="34">
        <f t="shared" si="2"/>
        <v>0</v>
      </c>
      <c r="M13" s="34">
        <v>0</v>
      </c>
      <c r="N13" s="34"/>
      <c r="O13" s="34">
        <f t="shared" si="5"/>
        <v>130</v>
      </c>
      <c r="P13" s="36">
        <v>130</v>
      </c>
      <c r="Q13" s="36">
        <v>9685.7999999999993</v>
      </c>
      <c r="R13" s="37">
        <v>4304.8</v>
      </c>
      <c r="S13" s="36">
        <f t="shared" si="6"/>
        <v>14120.599999999999</v>
      </c>
      <c r="T13" s="38">
        <f t="shared" si="7"/>
        <v>6</v>
      </c>
      <c r="U13" s="38">
        <f t="shared" si="8"/>
        <v>0.75</v>
      </c>
      <c r="V13" s="38">
        <f t="shared" si="9"/>
        <v>1.3</v>
      </c>
      <c r="W13" s="39">
        <v>0</v>
      </c>
      <c r="X13" s="38">
        <f t="shared" si="3"/>
        <v>0</v>
      </c>
      <c r="Y13" s="38">
        <v>0</v>
      </c>
      <c r="Z13" s="38">
        <v>0</v>
      </c>
      <c r="AA13" s="38">
        <v>0</v>
      </c>
      <c r="AB13" s="40">
        <f t="shared" si="10"/>
        <v>8.0500000000000007</v>
      </c>
      <c r="AC13" s="41">
        <f t="shared" si="11"/>
        <v>121.95</v>
      </c>
      <c r="AD13" s="7"/>
      <c r="AE13" s="7"/>
    </row>
    <row r="14" spans="1:31" x14ac:dyDescent="0.25">
      <c r="A14" s="28">
        <v>7</v>
      </c>
      <c r="B14" s="29" t="s">
        <v>60</v>
      </c>
      <c r="C14" s="29" t="s">
        <v>61</v>
      </c>
      <c r="D14" s="29" t="s">
        <v>62</v>
      </c>
      <c r="E14" s="30">
        <v>130</v>
      </c>
      <c r="F14" s="31">
        <f t="shared" si="4"/>
        <v>4.333333333333333</v>
      </c>
      <c r="G14" s="32">
        <f t="shared" si="0"/>
        <v>0.54166666666666663</v>
      </c>
      <c r="H14" s="32">
        <f t="shared" si="1"/>
        <v>30</v>
      </c>
      <c r="I14" s="43"/>
      <c r="J14" s="34">
        <v>30</v>
      </c>
      <c r="K14" s="35">
        <v>0</v>
      </c>
      <c r="L14" s="34">
        <f t="shared" si="2"/>
        <v>0</v>
      </c>
      <c r="M14" s="34">
        <v>0</v>
      </c>
      <c r="N14" s="34"/>
      <c r="O14" s="34">
        <f t="shared" si="5"/>
        <v>130</v>
      </c>
      <c r="P14" s="36">
        <v>130</v>
      </c>
      <c r="Q14" s="36">
        <v>9685.7999999999993</v>
      </c>
      <c r="R14" s="37">
        <v>4304.8</v>
      </c>
      <c r="S14" s="36">
        <f t="shared" si="6"/>
        <v>14120.599999999999</v>
      </c>
      <c r="T14" s="38">
        <f t="shared" si="7"/>
        <v>6</v>
      </c>
      <c r="U14" s="38">
        <f t="shared" si="8"/>
        <v>0.75</v>
      </c>
      <c r="V14" s="38">
        <f t="shared" si="9"/>
        <v>1.3</v>
      </c>
      <c r="W14" s="39">
        <v>0</v>
      </c>
      <c r="X14" s="38">
        <f t="shared" si="3"/>
        <v>0</v>
      </c>
      <c r="Y14" s="38">
        <v>0</v>
      </c>
      <c r="Z14" s="38">
        <v>0</v>
      </c>
      <c r="AA14" s="38">
        <v>0</v>
      </c>
      <c r="AB14" s="40">
        <f t="shared" si="10"/>
        <v>8.0500000000000007</v>
      </c>
      <c r="AC14" s="41">
        <f t="shared" si="11"/>
        <v>121.95</v>
      </c>
      <c r="AD14" s="7"/>
      <c r="AE14" s="7"/>
    </row>
    <row r="15" spans="1:31" x14ac:dyDescent="0.25">
      <c r="A15" s="28">
        <v>8</v>
      </c>
      <c r="B15" s="29" t="s">
        <v>63</v>
      </c>
      <c r="C15" s="29" t="s">
        <v>64</v>
      </c>
      <c r="D15" s="29" t="s">
        <v>65</v>
      </c>
      <c r="E15" s="30">
        <v>130</v>
      </c>
      <c r="F15" s="31">
        <f t="shared" si="4"/>
        <v>4.333333333333333</v>
      </c>
      <c r="G15" s="32">
        <f t="shared" si="0"/>
        <v>0.54166666666666663</v>
      </c>
      <c r="H15" s="32">
        <f t="shared" si="1"/>
        <v>30</v>
      </c>
      <c r="I15" s="43"/>
      <c r="J15" s="34">
        <v>30</v>
      </c>
      <c r="K15" s="35">
        <v>0</v>
      </c>
      <c r="L15" s="34">
        <f t="shared" si="2"/>
        <v>0</v>
      </c>
      <c r="M15" s="34">
        <v>0</v>
      </c>
      <c r="N15" s="34"/>
      <c r="O15" s="34">
        <f t="shared" si="5"/>
        <v>130</v>
      </c>
      <c r="P15" s="36">
        <v>130</v>
      </c>
      <c r="Q15" s="36">
        <v>9685.7999999999993</v>
      </c>
      <c r="R15" s="37">
        <v>4304.8</v>
      </c>
      <c r="S15" s="36">
        <f t="shared" si="6"/>
        <v>14120.599999999999</v>
      </c>
      <c r="T15" s="38">
        <f t="shared" si="7"/>
        <v>6</v>
      </c>
      <c r="U15" s="38">
        <f t="shared" si="8"/>
        <v>0.75</v>
      </c>
      <c r="V15" s="38">
        <f t="shared" si="9"/>
        <v>1.3</v>
      </c>
      <c r="W15" s="39">
        <v>0</v>
      </c>
      <c r="X15" s="38">
        <f t="shared" si="3"/>
        <v>0</v>
      </c>
      <c r="Y15" s="38">
        <v>0</v>
      </c>
      <c r="Z15" s="38">
        <v>0</v>
      </c>
      <c r="AA15" s="38">
        <v>0</v>
      </c>
      <c r="AB15" s="40">
        <f t="shared" si="10"/>
        <v>8.0500000000000007</v>
      </c>
      <c r="AC15" s="41">
        <f t="shared" si="11"/>
        <v>121.95</v>
      </c>
      <c r="AD15" s="7"/>
      <c r="AE15" s="7"/>
    </row>
    <row r="16" spans="1:31" x14ac:dyDescent="0.25">
      <c r="A16" s="28">
        <v>9</v>
      </c>
      <c r="B16" s="29" t="s">
        <v>68</v>
      </c>
      <c r="C16" s="29" t="s">
        <v>69</v>
      </c>
      <c r="D16" s="29" t="s">
        <v>70</v>
      </c>
      <c r="E16" s="30">
        <v>130</v>
      </c>
      <c r="F16" s="31">
        <f t="shared" si="4"/>
        <v>4.333333333333333</v>
      </c>
      <c r="G16" s="32">
        <f t="shared" si="0"/>
        <v>0.54166666666666663</v>
      </c>
      <c r="H16" s="32">
        <f t="shared" si="1"/>
        <v>30</v>
      </c>
      <c r="I16" s="43"/>
      <c r="J16" s="34">
        <v>30</v>
      </c>
      <c r="K16" s="35">
        <v>0</v>
      </c>
      <c r="L16" s="34">
        <f t="shared" si="2"/>
        <v>0</v>
      </c>
      <c r="M16" s="34">
        <v>0</v>
      </c>
      <c r="N16" s="34"/>
      <c r="O16" s="34">
        <f t="shared" si="5"/>
        <v>130</v>
      </c>
      <c r="P16" s="36">
        <v>130</v>
      </c>
      <c r="Q16" s="36">
        <v>9685.7999999999993</v>
      </c>
      <c r="R16" s="37">
        <v>4304.8</v>
      </c>
      <c r="S16" s="36">
        <f t="shared" si="6"/>
        <v>14120.599999999999</v>
      </c>
      <c r="T16" s="38">
        <f t="shared" si="7"/>
        <v>6</v>
      </c>
      <c r="U16" s="38">
        <f t="shared" si="8"/>
        <v>0.75</v>
      </c>
      <c r="V16" s="38">
        <f t="shared" si="9"/>
        <v>1.3</v>
      </c>
      <c r="W16" s="39">
        <v>0</v>
      </c>
      <c r="X16" s="38">
        <f t="shared" si="3"/>
        <v>0</v>
      </c>
      <c r="Y16" s="38">
        <v>0</v>
      </c>
      <c r="Z16" s="38">
        <v>0</v>
      </c>
      <c r="AA16" s="38">
        <v>0</v>
      </c>
      <c r="AB16" s="40">
        <f t="shared" si="10"/>
        <v>8.0500000000000007</v>
      </c>
      <c r="AC16" s="41">
        <f t="shared" si="11"/>
        <v>121.95</v>
      </c>
      <c r="AD16" s="7"/>
      <c r="AE16" s="7"/>
    </row>
    <row r="17" spans="1:31" x14ac:dyDescent="0.25">
      <c r="A17" s="28">
        <v>10</v>
      </c>
      <c r="B17" s="29" t="s">
        <v>71</v>
      </c>
      <c r="C17" s="29" t="s">
        <v>72</v>
      </c>
      <c r="D17" s="29" t="s">
        <v>73</v>
      </c>
      <c r="E17" s="30">
        <v>130</v>
      </c>
      <c r="F17" s="31">
        <f t="shared" si="4"/>
        <v>4.333333333333333</v>
      </c>
      <c r="G17" s="32">
        <f t="shared" si="0"/>
        <v>0.54166666666666663</v>
      </c>
      <c r="H17" s="32">
        <f t="shared" si="1"/>
        <v>30</v>
      </c>
      <c r="I17" s="43"/>
      <c r="J17" s="34">
        <v>30</v>
      </c>
      <c r="K17" s="35">
        <v>0</v>
      </c>
      <c r="L17" s="34">
        <f t="shared" si="2"/>
        <v>0</v>
      </c>
      <c r="M17" s="34">
        <v>0</v>
      </c>
      <c r="N17" s="34"/>
      <c r="O17" s="34">
        <f t="shared" si="5"/>
        <v>130</v>
      </c>
      <c r="P17" s="36">
        <v>130</v>
      </c>
      <c r="Q17" s="36">
        <v>9685.7999999999993</v>
      </c>
      <c r="R17" s="37">
        <v>4304.8</v>
      </c>
      <c r="S17" s="36">
        <f t="shared" si="6"/>
        <v>14120.599999999999</v>
      </c>
      <c r="T17" s="38">
        <f t="shared" si="7"/>
        <v>6</v>
      </c>
      <c r="U17" s="38">
        <f t="shared" si="8"/>
        <v>0.75</v>
      </c>
      <c r="V17" s="38">
        <f t="shared" si="9"/>
        <v>1.3</v>
      </c>
      <c r="W17" s="39">
        <v>0</v>
      </c>
      <c r="X17" s="38">
        <f t="shared" si="3"/>
        <v>0</v>
      </c>
      <c r="Y17" s="38">
        <v>0</v>
      </c>
      <c r="Z17" s="38">
        <v>0</v>
      </c>
      <c r="AA17" s="38">
        <v>0</v>
      </c>
      <c r="AB17" s="40">
        <f t="shared" si="10"/>
        <v>8.0500000000000007</v>
      </c>
      <c r="AC17" s="41">
        <f t="shared" si="11"/>
        <v>121.95</v>
      </c>
      <c r="AD17" s="7"/>
      <c r="AE17" s="7"/>
    </row>
    <row r="18" spans="1:31" x14ac:dyDescent="0.25">
      <c r="A18" s="28">
        <v>11</v>
      </c>
      <c r="B18" s="29" t="s">
        <v>74</v>
      </c>
      <c r="C18" s="29" t="s">
        <v>75</v>
      </c>
      <c r="D18" s="29" t="s">
        <v>70</v>
      </c>
      <c r="E18" s="30">
        <v>130</v>
      </c>
      <c r="F18" s="31">
        <f t="shared" si="4"/>
        <v>4.333333333333333</v>
      </c>
      <c r="G18" s="32">
        <f t="shared" si="0"/>
        <v>0.54166666666666663</v>
      </c>
      <c r="H18" s="32">
        <f t="shared" si="1"/>
        <v>30</v>
      </c>
      <c r="I18" s="43"/>
      <c r="J18" s="34">
        <v>30</v>
      </c>
      <c r="K18" s="35">
        <v>0</v>
      </c>
      <c r="L18" s="34">
        <f t="shared" si="2"/>
        <v>0</v>
      </c>
      <c r="M18" s="34">
        <v>0</v>
      </c>
      <c r="N18" s="34"/>
      <c r="O18" s="34">
        <f t="shared" si="5"/>
        <v>130</v>
      </c>
      <c r="P18" s="36">
        <v>130</v>
      </c>
      <c r="Q18" s="36">
        <v>9685.7999999999993</v>
      </c>
      <c r="R18" s="37">
        <v>4304.8</v>
      </c>
      <c r="S18" s="36">
        <f t="shared" si="6"/>
        <v>14120.599999999999</v>
      </c>
      <c r="T18" s="38">
        <f t="shared" si="7"/>
        <v>6</v>
      </c>
      <c r="U18" s="38">
        <f t="shared" si="8"/>
        <v>0.75</v>
      </c>
      <c r="V18" s="38">
        <f t="shared" si="9"/>
        <v>1.3</v>
      </c>
      <c r="W18" s="39">
        <v>0</v>
      </c>
      <c r="X18" s="38">
        <f t="shared" si="3"/>
        <v>0</v>
      </c>
      <c r="Y18" s="38">
        <v>0</v>
      </c>
      <c r="Z18" s="38">
        <v>0</v>
      </c>
      <c r="AA18" s="38">
        <v>0</v>
      </c>
      <c r="AB18" s="40">
        <f t="shared" si="10"/>
        <v>8.0500000000000007</v>
      </c>
      <c r="AC18" s="41">
        <f t="shared" si="11"/>
        <v>121.95</v>
      </c>
      <c r="AD18" s="7"/>
      <c r="AE18" s="7"/>
    </row>
    <row r="19" spans="1:31" x14ac:dyDescent="0.25">
      <c r="A19" s="28">
        <v>12</v>
      </c>
      <c r="B19" s="29" t="s">
        <v>76</v>
      </c>
      <c r="C19" s="29" t="s">
        <v>77</v>
      </c>
      <c r="D19" s="29" t="s">
        <v>78</v>
      </c>
      <c r="E19" s="30">
        <v>130</v>
      </c>
      <c r="F19" s="31">
        <f t="shared" si="4"/>
        <v>4.333333333333333</v>
      </c>
      <c r="G19" s="32">
        <f t="shared" si="0"/>
        <v>0.54166666666666663</v>
      </c>
      <c r="H19" s="32">
        <f t="shared" si="1"/>
        <v>30</v>
      </c>
      <c r="I19" s="43"/>
      <c r="J19" s="34">
        <v>30</v>
      </c>
      <c r="K19" s="35">
        <v>0</v>
      </c>
      <c r="L19" s="34">
        <f t="shared" si="2"/>
        <v>0</v>
      </c>
      <c r="M19" s="34">
        <v>0</v>
      </c>
      <c r="N19" s="34"/>
      <c r="O19" s="34">
        <f t="shared" si="5"/>
        <v>130</v>
      </c>
      <c r="P19" s="36">
        <v>130</v>
      </c>
      <c r="Q19" s="36">
        <v>9685.7999999999993</v>
      </c>
      <c r="R19" s="37">
        <v>4304.8</v>
      </c>
      <c r="S19" s="36">
        <f t="shared" si="6"/>
        <v>14120.599999999999</v>
      </c>
      <c r="T19" s="38">
        <f t="shared" si="7"/>
        <v>6</v>
      </c>
      <c r="U19" s="38">
        <f t="shared" si="8"/>
        <v>0.75</v>
      </c>
      <c r="V19" s="38">
        <f t="shared" si="9"/>
        <v>1.3</v>
      </c>
      <c r="W19" s="39">
        <v>0</v>
      </c>
      <c r="X19" s="38">
        <f t="shared" si="3"/>
        <v>0</v>
      </c>
      <c r="Y19" s="38">
        <v>0</v>
      </c>
      <c r="Z19" s="38">
        <v>0</v>
      </c>
      <c r="AA19" s="38">
        <v>0</v>
      </c>
      <c r="AB19" s="40">
        <f t="shared" si="10"/>
        <v>8.0500000000000007</v>
      </c>
      <c r="AC19" s="41">
        <f t="shared" si="11"/>
        <v>121.95</v>
      </c>
      <c r="AD19" s="7"/>
      <c r="AE19" s="7"/>
    </row>
    <row r="20" spans="1:31" x14ac:dyDescent="0.25">
      <c r="A20" s="28">
        <v>13</v>
      </c>
      <c r="B20" s="29" t="s">
        <v>79</v>
      </c>
      <c r="C20" s="29" t="s">
        <v>80</v>
      </c>
      <c r="D20" s="29" t="s">
        <v>78</v>
      </c>
      <c r="E20" s="30">
        <v>130</v>
      </c>
      <c r="F20" s="31">
        <f t="shared" si="4"/>
        <v>4.333333333333333</v>
      </c>
      <c r="G20" s="32">
        <f t="shared" si="0"/>
        <v>0.54166666666666663</v>
      </c>
      <c r="H20" s="32">
        <f t="shared" si="1"/>
        <v>30</v>
      </c>
      <c r="I20" s="43"/>
      <c r="J20" s="34">
        <v>30</v>
      </c>
      <c r="K20" s="35">
        <v>0</v>
      </c>
      <c r="L20" s="34">
        <f t="shared" si="2"/>
        <v>0</v>
      </c>
      <c r="M20" s="34">
        <v>0</v>
      </c>
      <c r="N20" s="34"/>
      <c r="O20" s="34">
        <f t="shared" si="5"/>
        <v>130</v>
      </c>
      <c r="P20" s="36">
        <v>130</v>
      </c>
      <c r="Q20" s="36">
        <v>9685.7999999999993</v>
      </c>
      <c r="R20" s="37">
        <v>4304.8</v>
      </c>
      <c r="S20" s="36">
        <f t="shared" si="6"/>
        <v>14120.599999999999</v>
      </c>
      <c r="T20" s="38">
        <f t="shared" si="7"/>
        <v>6</v>
      </c>
      <c r="U20" s="38">
        <f t="shared" si="8"/>
        <v>0.75</v>
      </c>
      <c r="V20" s="38">
        <f t="shared" si="9"/>
        <v>1.3</v>
      </c>
      <c r="W20" s="39">
        <v>0</v>
      </c>
      <c r="X20" s="38">
        <f t="shared" si="3"/>
        <v>0</v>
      </c>
      <c r="Y20" s="38">
        <v>0</v>
      </c>
      <c r="Z20" s="38">
        <v>0</v>
      </c>
      <c r="AA20" s="38">
        <v>0</v>
      </c>
      <c r="AB20" s="40">
        <f t="shared" si="10"/>
        <v>8.0500000000000007</v>
      </c>
      <c r="AC20" s="41">
        <f t="shared" si="11"/>
        <v>121.95</v>
      </c>
      <c r="AD20" s="7"/>
      <c r="AE20" s="7"/>
    </row>
    <row r="21" spans="1:31" x14ac:dyDescent="0.25">
      <c r="A21" s="28">
        <v>14</v>
      </c>
      <c r="B21" s="29" t="s">
        <v>81</v>
      </c>
      <c r="C21" s="29" t="s">
        <v>82</v>
      </c>
      <c r="D21" s="29" t="s">
        <v>78</v>
      </c>
      <c r="E21" s="30">
        <v>130</v>
      </c>
      <c r="F21" s="31">
        <f t="shared" si="4"/>
        <v>4.333333333333333</v>
      </c>
      <c r="G21" s="32">
        <f t="shared" si="0"/>
        <v>0.54166666666666663</v>
      </c>
      <c r="H21" s="32">
        <f t="shared" si="1"/>
        <v>30</v>
      </c>
      <c r="I21" s="43"/>
      <c r="J21" s="34">
        <v>30</v>
      </c>
      <c r="K21" s="35">
        <v>0</v>
      </c>
      <c r="L21" s="34">
        <f t="shared" si="2"/>
        <v>0</v>
      </c>
      <c r="M21" s="34">
        <v>0</v>
      </c>
      <c r="N21" s="34"/>
      <c r="O21" s="34">
        <f t="shared" si="5"/>
        <v>130</v>
      </c>
      <c r="P21" s="36">
        <v>130</v>
      </c>
      <c r="Q21" s="36">
        <v>9685.7999999999993</v>
      </c>
      <c r="R21" s="37">
        <v>4304.8</v>
      </c>
      <c r="S21" s="36">
        <f t="shared" si="6"/>
        <v>14120.599999999999</v>
      </c>
      <c r="T21" s="38">
        <f t="shared" si="7"/>
        <v>6</v>
      </c>
      <c r="U21" s="38">
        <f t="shared" si="8"/>
        <v>0.75</v>
      </c>
      <c r="V21" s="38">
        <f t="shared" si="9"/>
        <v>1.3</v>
      </c>
      <c r="W21" s="39">
        <v>0</v>
      </c>
      <c r="X21" s="38">
        <f t="shared" si="3"/>
        <v>0</v>
      </c>
      <c r="Y21" s="38">
        <v>0</v>
      </c>
      <c r="Z21" s="38">
        <v>0</v>
      </c>
      <c r="AA21" s="38">
        <v>0</v>
      </c>
      <c r="AB21" s="40">
        <f t="shared" si="10"/>
        <v>8.0500000000000007</v>
      </c>
      <c r="AC21" s="41">
        <f t="shared" si="11"/>
        <v>121.95</v>
      </c>
      <c r="AD21" s="7"/>
      <c r="AE21" s="7"/>
    </row>
    <row r="22" spans="1:31" x14ac:dyDescent="0.25">
      <c r="A22" s="28">
        <v>15</v>
      </c>
      <c r="B22" s="29" t="s">
        <v>83</v>
      </c>
      <c r="C22" s="29" t="s">
        <v>84</v>
      </c>
      <c r="D22" s="29" t="s">
        <v>70</v>
      </c>
      <c r="E22" s="30">
        <v>130</v>
      </c>
      <c r="F22" s="31">
        <f t="shared" si="4"/>
        <v>4.333333333333333</v>
      </c>
      <c r="G22" s="32">
        <f t="shared" si="0"/>
        <v>0.54166666666666663</v>
      </c>
      <c r="H22" s="32">
        <f t="shared" si="1"/>
        <v>30</v>
      </c>
      <c r="I22" s="43"/>
      <c r="J22" s="34">
        <v>30</v>
      </c>
      <c r="K22" s="35">
        <v>0</v>
      </c>
      <c r="L22" s="34">
        <f t="shared" si="2"/>
        <v>0</v>
      </c>
      <c r="M22" s="34">
        <v>0</v>
      </c>
      <c r="N22" s="34"/>
      <c r="O22" s="34">
        <f t="shared" si="5"/>
        <v>130</v>
      </c>
      <c r="P22" s="36">
        <v>130</v>
      </c>
      <c r="Q22" s="36">
        <v>9685.7999999999993</v>
      </c>
      <c r="R22" s="37">
        <v>4304.8</v>
      </c>
      <c r="S22" s="36">
        <f t="shared" si="6"/>
        <v>14120.599999999999</v>
      </c>
      <c r="T22" s="38">
        <f t="shared" si="7"/>
        <v>6</v>
      </c>
      <c r="U22" s="38">
        <f t="shared" si="8"/>
        <v>0.75</v>
      </c>
      <c r="V22" s="38">
        <f t="shared" si="9"/>
        <v>1.3</v>
      </c>
      <c r="W22" s="39">
        <v>0</v>
      </c>
      <c r="X22" s="38">
        <f t="shared" si="3"/>
        <v>0</v>
      </c>
      <c r="Y22" s="38">
        <v>0</v>
      </c>
      <c r="Z22" s="38">
        <v>0</v>
      </c>
      <c r="AA22" s="38">
        <v>0</v>
      </c>
      <c r="AB22" s="40">
        <f t="shared" si="10"/>
        <v>8.0500000000000007</v>
      </c>
      <c r="AC22" s="41">
        <f t="shared" si="11"/>
        <v>121.95</v>
      </c>
      <c r="AD22" s="7"/>
      <c r="AE22" s="7"/>
    </row>
    <row r="23" spans="1:31" x14ac:dyDescent="0.25">
      <c r="A23" s="28">
        <v>16</v>
      </c>
      <c r="B23" s="29" t="s">
        <v>85</v>
      </c>
      <c r="C23" s="29" t="s">
        <v>86</v>
      </c>
      <c r="D23" s="29" t="s">
        <v>53</v>
      </c>
      <c r="E23" s="30">
        <v>130</v>
      </c>
      <c r="F23" s="31">
        <f t="shared" si="4"/>
        <v>4.333333333333333</v>
      </c>
      <c r="G23" s="32">
        <f t="shared" si="0"/>
        <v>0.54166666666666663</v>
      </c>
      <c r="H23" s="32">
        <f t="shared" si="1"/>
        <v>30</v>
      </c>
      <c r="I23" s="43"/>
      <c r="J23" s="34">
        <v>30</v>
      </c>
      <c r="K23" s="35">
        <v>0</v>
      </c>
      <c r="L23" s="34">
        <f t="shared" si="2"/>
        <v>0</v>
      </c>
      <c r="M23" s="34">
        <v>0</v>
      </c>
      <c r="N23" s="34"/>
      <c r="O23" s="34">
        <f t="shared" si="5"/>
        <v>130</v>
      </c>
      <c r="P23" s="36">
        <v>130</v>
      </c>
      <c r="Q23" s="36">
        <v>9685.7999999999993</v>
      </c>
      <c r="R23" s="37">
        <v>4304.8</v>
      </c>
      <c r="S23" s="36">
        <f t="shared" si="6"/>
        <v>14120.599999999999</v>
      </c>
      <c r="T23" s="38">
        <f t="shared" si="7"/>
        <v>6</v>
      </c>
      <c r="U23" s="38">
        <f t="shared" si="8"/>
        <v>0.75</v>
      </c>
      <c r="V23" s="38">
        <f t="shared" si="9"/>
        <v>1.3</v>
      </c>
      <c r="W23" s="39">
        <v>0</v>
      </c>
      <c r="X23" s="38">
        <f t="shared" si="3"/>
        <v>0</v>
      </c>
      <c r="Y23" s="38">
        <v>0</v>
      </c>
      <c r="Z23" s="38">
        <v>0</v>
      </c>
      <c r="AA23" s="38">
        <v>0</v>
      </c>
      <c r="AB23" s="40">
        <f t="shared" si="10"/>
        <v>8.0500000000000007</v>
      </c>
      <c r="AC23" s="41">
        <f t="shared" si="11"/>
        <v>121.95</v>
      </c>
      <c r="AD23" s="7"/>
      <c r="AE23" s="7"/>
    </row>
    <row r="24" spans="1:31" x14ac:dyDescent="0.25">
      <c r="A24" s="28">
        <v>17</v>
      </c>
      <c r="B24" s="29" t="s">
        <v>87</v>
      </c>
      <c r="C24" s="29" t="s">
        <v>88</v>
      </c>
      <c r="D24" s="29" t="s">
        <v>89</v>
      </c>
      <c r="E24" s="30">
        <v>130</v>
      </c>
      <c r="F24" s="31">
        <f t="shared" si="4"/>
        <v>4.333333333333333</v>
      </c>
      <c r="G24" s="32">
        <f t="shared" si="0"/>
        <v>0.54166666666666663</v>
      </c>
      <c r="H24" s="32">
        <f t="shared" si="1"/>
        <v>30</v>
      </c>
      <c r="I24" s="43"/>
      <c r="J24" s="34">
        <v>30</v>
      </c>
      <c r="K24" s="35">
        <v>0</v>
      </c>
      <c r="L24" s="34">
        <f t="shared" si="2"/>
        <v>0</v>
      </c>
      <c r="M24" s="34">
        <v>0</v>
      </c>
      <c r="N24" s="34"/>
      <c r="O24" s="34">
        <f t="shared" si="5"/>
        <v>130</v>
      </c>
      <c r="P24" s="36">
        <v>130</v>
      </c>
      <c r="Q24" s="36">
        <v>9685.7999999999993</v>
      </c>
      <c r="R24" s="37">
        <v>4304.8</v>
      </c>
      <c r="S24" s="36">
        <f t="shared" si="6"/>
        <v>14120.599999999999</v>
      </c>
      <c r="T24" s="38">
        <f t="shared" si="7"/>
        <v>6</v>
      </c>
      <c r="U24" s="38">
        <f t="shared" si="8"/>
        <v>0.75</v>
      </c>
      <c r="V24" s="38">
        <f t="shared" si="9"/>
        <v>1.3</v>
      </c>
      <c r="W24" s="39">
        <v>0</v>
      </c>
      <c r="X24" s="38">
        <f t="shared" si="3"/>
        <v>0</v>
      </c>
      <c r="Y24" s="38">
        <v>0</v>
      </c>
      <c r="Z24" s="38">
        <v>0</v>
      </c>
      <c r="AA24" s="38">
        <v>0</v>
      </c>
      <c r="AB24" s="40">
        <f t="shared" si="10"/>
        <v>8.0500000000000007</v>
      </c>
      <c r="AC24" s="41">
        <f t="shared" si="11"/>
        <v>121.95</v>
      </c>
      <c r="AD24" s="7"/>
      <c r="AE24" s="7"/>
    </row>
    <row r="25" spans="1:31" x14ac:dyDescent="0.25">
      <c r="A25" s="28">
        <v>18</v>
      </c>
      <c r="B25" s="29" t="s">
        <v>90</v>
      </c>
      <c r="C25" s="29" t="s">
        <v>91</v>
      </c>
      <c r="D25" s="29" t="s">
        <v>73</v>
      </c>
      <c r="E25" s="30">
        <v>130</v>
      </c>
      <c r="F25" s="31">
        <f t="shared" si="4"/>
        <v>4.333333333333333</v>
      </c>
      <c r="G25" s="32">
        <f t="shared" si="0"/>
        <v>0.54166666666666663</v>
      </c>
      <c r="H25" s="32">
        <f t="shared" si="1"/>
        <v>30</v>
      </c>
      <c r="I25" s="43"/>
      <c r="J25" s="34">
        <v>30</v>
      </c>
      <c r="K25" s="35">
        <v>0</v>
      </c>
      <c r="L25" s="34">
        <f t="shared" si="2"/>
        <v>0</v>
      </c>
      <c r="M25" s="34">
        <v>0</v>
      </c>
      <c r="N25" s="34"/>
      <c r="O25" s="34">
        <f t="shared" si="5"/>
        <v>130</v>
      </c>
      <c r="P25" s="36">
        <v>130</v>
      </c>
      <c r="Q25" s="36">
        <v>9685.7999999999993</v>
      </c>
      <c r="R25" s="37">
        <v>4304.8</v>
      </c>
      <c r="S25" s="36">
        <f t="shared" si="6"/>
        <v>14120.599999999999</v>
      </c>
      <c r="T25" s="38">
        <f t="shared" si="7"/>
        <v>6</v>
      </c>
      <c r="U25" s="38">
        <f t="shared" si="8"/>
        <v>0.75</v>
      </c>
      <c r="V25" s="38">
        <f t="shared" si="9"/>
        <v>1.3</v>
      </c>
      <c r="W25" s="39">
        <v>0</v>
      </c>
      <c r="X25" s="38">
        <f t="shared" si="3"/>
        <v>0</v>
      </c>
      <c r="Y25" s="38">
        <v>0</v>
      </c>
      <c r="Z25" s="38">
        <v>0</v>
      </c>
      <c r="AA25" s="38">
        <v>0</v>
      </c>
      <c r="AB25" s="40">
        <f t="shared" si="10"/>
        <v>8.0500000000000007</v>
      </c>
      <c r="AC25" s="41">
        <f t="shared" si="11"/>
        <v>121.95</v>
      </c>
      <c r="AD25" s="7"/>
      <c r="AE25" s="7"/>
    </row>
    <row r="26" spans="1:31" x14ac:dyDescent="0.25">
      <c r="A26" s="28">
        <v>19</v>
      </c>
      <c r="B26" s="29" t="s">
        <v>92</v>
      </c>
      <c r="C26" s="29" t="s">
        <v>93</v>
      </c>
      <c r="D26" s="29" t="s">
        <v>89</v>
      </c>
      <c r="E26" s="30">
        <v>130</v>
      </c>
      <c r="F26" s="31">
        <f t="shared" si="4"/>
        <v>4.333333333333333</v>
      </c>
      <c r="G26" s="32">
        <f t="shared" si="0"/>
        <v>0.54166666666666663</v>
      </c>
      <c r="H26" s="32">
        <f t="shared" si="1"/>
        <v>30</v>
      </c>
      <c r="I26" s="43"/>
      <c r="J26" s="34">
        <v>30</v>
      </c>
      <c r="K26" s="35">
        <v>0</v>
      </c>
      <c r="L26" s="34">
        <f t="shared" si="2"/>
        <v>0</v>
      </c>
      <c r="M26" s="34">
        <v>0</v>
      </c>
      <c r="N26" s="34"/>
      <c r="O26" s="34">
        <f t="shared" si="5"/>
        <v>130</v>
      </c>
      <c r="P26" s="36">
        <v>130</v>
      </c>
      <c r="Q26" s="36">
        <v>9685.7999999999993</v>
      </c>
      <c r="R26" s="37">
        <v>4304.8</v>
      </c>
      <c r="S26" s="36">
        <f t="shared" si="6"/>
        <v>14120.599999999999</v>
      </c>
      <c r="T26" s="38">
        <f t="shared" si="7"/>
        <v>6</v>
      </c>
      <c r="U26" s="38">
        <f t="shared" si="8"/>
        <v>0.75</v>
      </c>
      <c r="V26" s="38">
        <f t="shared" si="9"/>
        <v>1.3</v>
      </c>
      <c r="W26" s="39">
        <v>0</v>
      </c>
      <c r="X26" s="38">
        <f t="shared" si="3"/>
        <v>0</v>
      </c>
      <c r="Y26" s="38">
        <v>0</v>
      </c>
      <c r="Z26" s="38">
        <v>0</v>
      </c>
      <c r="AA26" s="38">
        <v>0</v>
      </c>
      <c r="AB26" s="40">
        <f t="shared" si="10"/>
        <v>8.0500000000000007</v>
      </c>
      <c r="AC26" s="41">
        <f t="shared" si="11"/>
        <v>121.95</v>
      </c>
      <c r="AD26" s="7"/>
      <c r="AE26" s="7"/>
    </row>
    <row r="27" spans="1:31" x14ac:dyDescent="0.25">
      <c r="A27" s="28">
        <v>20</v>
      </c>
      <c r="B27" s="29" t="s">
        <v>94</v>
      </c>
      <c r="C27" s="29" t="s">
        <v>95</v>
      </c>
      <c r="D27" s="29" t="s">
        <v>53</v>
      </c>
      <c r="E27" s="30">
        <v>130</v>
      </c>
      <c r="F27" s="31">
        <f t="shared" si="4"/>
        <v>4.333333333333333</v>
      </c>
      <c r="G27" s="32">
        <f t="shared" si="0"/>
        <v>0.54166666666666663</v>
      </c>
      <c r="H27" s="32">
        <f t="shared" si="1"/>
        <v>30</v>
      </c>
      <c r="I27" s="43"/>
      <c r="J27" s="34">
        <v>30</v>
      </c>
      <c r="K27" s="35">
        <v>0</v>
      </c>
      <c r="L27" s="34">
        <f t="shared" si="2"/>
        <v>0</v>
      </c>
      <c r="M27" s="34">
        <v>0</v>
      </c>
      <c r="N27" s="34"/>
      <c r="O27" s="34">
        <f t="shared" si="5"/>
        <v>130</v>
      </c>
      <c r="P27" s="36">
        <v>130</v>
      </c>
      <c r="Q27" s="36">
        <v>9685.7999999999993</v>
      </c>
      <c r="R27" s="37">
        <v>4304.8</v>
      </c>
      <c r="S27" s="36">
        <f t="shared" si="6"/>
        <v>14120.599999999999</v>
      </c>
      <c r="T27" s="38">
        <f t="shared" si="7"/>
        <v>6</v>
      </c>
      <c r="U27" s="38">
        <f t="shared" si="8"/>
        <v>0.75</v>
      </c>
      <c r="V27" s="38">
        <f t="shared" si="9"/>
        <v>1.3</v>
      </c>
      <c r="W27" s="39">
        <v>0</v>
      </c>
      <c r="X27" s="38">
        <f t="shared" si="3"/>
        <v>0</v>
      </c>
      <c r="Y27" s="38">
        <v>0</v>
      </c>
      <c r="Z27" s="38">
        <v>0</v>
      </c>
      <c r="AA27" s="38">
        <v>0</v>
      </c>
      <c r="AB27" s="40">
        <f t="shared" si="10"/>
        <v>8.0500000000000007</v>
      </c>
      <c r="AC27" s="41">
        <f t="shared" si="11"/>
        <v>121.95</v>
      </c>
      <c r="AD27" s="7"/>
      <c r="AE27" s="7"/>
    </row>
    <row r="28" spans="1:31" x14ac:dyDescent="0.25">
      <c r="A28" s="28">
        <v>21</v>
      </c>
      <c r="B28" s="29" t="s">
        <v>96</v>
      </c>
      <c r="C28" s="29" t="s">
        <v>97</v>
      </c>
      <c r="D28" s="29" t="s">
        <v>98</v>
      </c>
      <c r="E28" s="30">
        <v>130</v>
      </c>
      <c r="F28" s="31">
        <f t="shared" si="4"/>
        <v>4.333333333333333</v>
      </c>
      <c r="G28" s="32">
        <f t="shared" si="0"/>
        <v>0.54166666666666663</v>
      </c>
      <c r="H28" s="32">
        <f t="shared" si="1"/>
        <v>30</v>
      </c>
      <c r="I28" s="43"/>
      <c r="J28" s="34">
        <v>30</v>
      </c>
      <c r="K28" s="35">
        <v>0</v>
      </c>
      <c r="L28" s="34">
        <f t="shared" si="2"/>
        <v>0</v>
      </c>
      <c r="M28" s="34">
        <v>0</v>
      </c>
      <c r="N28" s="34"/>
      <c r="O28" s="34">
        <f t="shared" si="5"/>
        <v>130</v>
      </c>
      <c r="P28" s="36">
        <v>130</v>
      </c>
      <c r="Q28" s="36">
        <v>9685.7999999999993</v>
      </c>
      <c r="R28" s="37">
        <v>4304.8</v>
      </c>
      <c r="S28" s="36">
        <f t="shared" si="6"/>
        <v>14120.599999999999</v>
      </c>
      <c r="T28" s="38">
        <f t="shared" si="7"/>
        <v>6</v>
      </c>
      <c r="U28" s="38">
        <f t="shared" si="8"/>
        <v>0.75</v>
      </c>
      <c r="V28" s="38">
        <f t="shared" si="9"/>
        <v>1.3</v>
      </c>
      <c r="W28" s="39">
        <v>0</v>
      </c>
      <c r="X28" s="38">
        <f t="shared" si="3"/>
        <v>0</v>
      </c>
      <c r="Y28" s="38">
        <v>0</v>
      </c>
      <c r="Z28" s="38">
        <v>0</v>
      </c>
      <c r="AA28" s="38">
        <v>0</v>
      </c>
      <c r="AB28" s="40">
        <f t="shared" si="10"/>
        <v>8.0500000000000007</v>
      </c>
      <c r="AC28" s="41">
        <f t="shared" si="11"/>
        <v>121.95</v>
      </c>
      <c r="AD28" s="7"/>
      <c r="AE28" s="7"/>
    </row>
    <row r="29" spans="1:31" x14ac:dyDescent="0.25">
      <c r="A29" s="28">
        <v>22</v>
      </c>
      <c r="B29" s="29" t="s">
        <v>99</v>
      </c>
      <c r="C29" s="29" t="s">
        <v>100</v>
      </c>
      <c r="D29" s="29" t="s">
        <v>101</v>
      </c>
      <c r="E29" s="30">
        <v>130</v>
      </c>
      <c r="F29" s="31">
        <f t="shared" si="4"/>
        <v>4.333333333333333</v>
      </c>
      <c r="G29" s="32">
        <f t="shared" si="0"/>
        <v>0.54166666666666663</v>
      </c>
      <c r="H29" s="32">
        <f t="shared" si="1"/>
        <v>30</v>
      </c>
      <c r="I29" s="43"/>
      <c r="J29" s="34">
        <v>30</v>
      </c>
      <c r="K29" s="35">
        <v>0</v>
      </c>
      <c r="L29" s="34">
        <f t="shared" si="2"/>
        <v>0</v>
      </c>
      <c r="M29" s="34">
        <v>0</v>
      </c>
      <c r="N29" s="34"/>
      <c r="O29" s="34">
        <f t="shared" si="5"/>
        <v>130</v>
      </c>
      <c r="P29" s="36">
        <v>130</v>
      </c>
      <c r="Q29" s="36">
        <v>9685.7999999999993</v>
      </c>
      <c r="R29" s="37">
        <v>4304.8</v>
      </c>
      <c r="S29" s="36">
        <f t="shared" si="6"/>
        <v>14120.599999999999</v>
      </c>
      <c r="T29" s="38">
        <f t="shared" si="7"/>
        <v>6</v>
      </c>
      <c r="U29" s="38">
        <f t="shared" si="8"/>
        <v>0.75</v>
      </c>
      <c r="V29" s="38">
        <f t="shared" si="9"/>
        <v>1.3</v>
      </c>
      <c r="W29" s="39">
        <v>0</v>
      </c>
      <c r="X29" s="38">
        <f t="shared" si="3"/>
        <v>0</v>
      </c>
      <c r="Y29" s="38">
        <v>0</v>
      </c>
      <c r="Z29" s="38">
        <v>0</v>
      </c>
      <c r="AA29" s="38">
        <v>0</v>
      </c>
      <c r="AB29" s="40">
        <f t="shared" si="10"/>
        <v>8.0500000000000007</v>
      </c>
      <c r="AC29" s="41">
        <f t="shared" si="11"/>
        <v>121.95</v>
      </c>
      <c r="AD29" s="7"/>
      <c r="AE29" s="7"/>
    </row>
    <row r="30" spans="1:31" x14ac:dyDescent="0.25">
      <c r="A30" s="28">
        <v>23</v>
      </c>
      <c r="B30" s="29" t="s">
        <v>102</v>
      </c>
      <c r="C30" s="29" t="s">
        <v>103</v>
      </c>
      <c r="D30" s="29" t="s">
        <v>78</v>
      </c>
      <c r="E30" s="30">
        <v>130</v>
      </c>
      <c r="F30" s="31">
        <f t="shared" si="4"/>
        <v>4.333333333333333</v>
      </c>
      <c r="G30" s="32">
        <f t="shared" si="0"/>
        <v>0.54166666666666663</v>
      </c>
      <c r="H30" s="32">
        <f t="shared" si="1"/>
        <v>30</v>
      </c>
      <c r="I30" s="43"/>
      <c r="J30" s="34">
        <v>30</v>
      </c>
      <c r="K30" s="35">
        <v>0</v>
      </c>
      <c r="L30" s="34">
        <f t="shared" si="2"/>
        <v>0</v>
      </c>
      <c r="M30" s="34">
        <v>0</v>
      </c>
      <c r="N30" s="34"/>
      <c r="O30" s="34">
        <f t="shared" si="5"/>
        <v>130</v>
      </c>
      <c r="P30" s="36">
        <v>130</v>
      </c>
      <c r="Q30" s="36">
        <v>9685.7999999999993</v>
      </c>
      <c r="R30" s="37">
        <v>4304.8</v>
      </c>
      <c r="S30" s="36">
        <f t="shared" si="6"/>
        <v>14120.599999999999</v>
      </c>
      <c r="T30" s="38">
        <f t="shared" si="7"/>
        <v>6</v>
      </c>
      <c r="U30" s="38">
        <f t="shared" si="8"/>
        <v>0.75</v>
      </c>
      <c r="V30" s="38">
        <f t="shared" si="9"/>
        <v>1.3</v>
      </c>
      <c r="W30" s="39">
        <v>0</v>
      </c>
      <c r="X30" s="38">
        <f t="shared" si="3"/>
        <v>0</v>
      </c>
      <c r="Y30" s="38">
        <v>0</v>
      </c>
      <c r="Z30" s="38">
        <v>0</v>
      </c>
      <c r="AA30" s="38">
        <v>0</v>
      </c>
      <c r="AB30" s="40">
        <f t="shared" si="10"/>
        <v>8.0500000000000007</v>
      </c>
      <c r="AC30" s="41">
        <f t="shared" si="11"/>
        <v>121.95</v>
      </c>
      <c r="AD30" s="7"/>
      <c r="AE30" s="7"/>
    </row>
    <row r="31" spans="1:31" x14ac:dyDescent="0.25">
      <c r="A31" s="28">
        <v>24</v>
      </c>
      <c r="B31" s="29" t="s">
        <v>104</v>
      </c>
      <c r="C31" s="29" t="s">
        <v>105</v>
      </c>
      <c r="D31" s="29" t="s">
        <v>106</v>
      </c>
      <c r="E31" s="30">
        <v>130</v>
      </c>
      <c r="F31" s="31">
        <f t="shared" si="4"/>
        <v>4.333333333333333</v>
      </c>
      <c r="G31" s="32">
        <f t="shared" si="0"/>
        <v>0.54166666666666663</v>
      </c>
      <c r="H31" s="32">
        <f t="shared" si="1"/>
        <v>30</v>
      </c>
      <c r="I31" s="43"/>
      <c r="J31" s="34">
        <v>30</v>
      </c>
      <c r="K31" s="35">
        <v>0</v>
      </c>
      <c r="L31" s="34">
        <f t="shared" si="2"/>
        <v>0</v>
      </c>
      <c r="M31" s="34">
        <v>0</v>
      </c>
      <c r="N31" s="34"/>
      <c r="O31" s="34">
        <f t="shared" si="5"/>
        <v>130</v>
      </c>
      <c r="P31" s="36">
        <v>130</v>
      </c>
      <c r="Q31" s="36">
        <v>9685.7999999999993</v>
      </c>
      <c r="R31" s="37">
        <v>4304.8</v>
      </c>
      <c r="S31" s="36">
        <f t="shared" si="6"/>
        <v>14120.599999999999</v>
      </c>
      <c r="T31" s="38">
        <f t="shared" si="7"/>
        <v>6</v>
      </c>
      <c r="U31" s="38">
        <f t="shared" si="8"/>
        <v>0.75</v>
      </c>
      <c r="V31" s="38">
        <f t="shared" si="9"/>
        <v>1.3</v>
      </c>
      <c r="W31" s="39">
        <v>0</v>
      </c>
      <c r="X31" s="38">
        <f t="shared" si="3"/>
        <v>0</v>
      </c>
      <c r="Y31" s="38">
        <v>0</v>
      </c>
      <c r="Z31" s="38">
        <v>0</v>
      </c>
      <c r="AA31" s="38">
        <v>0</v>
      </c>
      <c r="AB31" s="40">
        <f t="shared" si="10"/>
        <v>8.0500000000000007</v>
      </c>
      <c r="AC31" s="41">
        <f t="shared" si="11"/>
        <v>121.95</v>
      </c>
      <c r="AD31" s="7"/>
      <c r="AE31" s="7"/>
    </row>
    <row r="32" spans="1:31" x14ac:dyDescent="0.25">
      <c r="A32" s="28">
        <v>25</v>
      </c>
      <c r="B32" s="29" t="s">
        <v>107</v>
      </c>
      <c r="C32" s="29" t="s">
        <v>108</v>
      </c>
      <c r="D32" s="29" t="s">
        <v>78</v>
      </c>
      <c r="E32" s="30">
        <v>130</v>
      </c>
      <c r="F32" s="31">
        <f t="shared" si="4"/>
        <v>4.333333333333333</v>
      </c>
      <c r="G32" s="32">
        <f t="shared" si="0"/>
        <v>0.54166666666666663</v>
      </c>
      <c r="H32" s="32">
        <f t="shared" si="1"/>
        <v>30</v>
      </c>
      <c r="I32" s="43"/>
      <c r="J32" s="34">
        <v>30</v>
      </c>
      <c r="K32" s="35">
        <v>0</v>
      </c>
      <c r="L32" s="34">
        <f t="shared" si="2"/>
        <v>0</v>
      </c>
      <c r="M32" s="34">
        <v>0</v>
      </c>
      <c r="N32" s="34"/>
      <c r="O32" s="34">
        <f t="shared" si="5"/>
        <v>130</v>
      </c>
      <c r="P32" s="36">
        <v>130</v>
      </c>
      <c r="Q32" s="36">
        <v>9685.7999999999993</v>
      </c>
      <c r="R32" s="37">
        <v>4304.8</v>
      </c>
      <c r="S32" s="36">
        <f t="shared" si="6"/>
        <v>14120.599999999999</v>
      </c>
      <c r="T32" s="38">
        <f t="shared" si="7"/>
        <v>6</v>
      </c>
      <c r="U32" s="38">
        <f t="shared" si="8"/>
        <v>0.75</v>
      </c>
      <c r="V32" s="38">
        <f t="shared" si="9"/>
        <v>1.3</v>
      </c>
      <c r="W32" s="39">
        <v>0</v>
      </c>
      <c r="X32" s="38">
        <f t="shared" si="3"/>
        <v>0</v>
      </c>
      <c r="Y32" s="38">
        <v>0</v>
      </c>
      <c r="Z32" s="38">
        <v>0</v>
      </c>
      <c r="AA32" s="38">
        <v>0</v>
      </c>
      <c r="AB32" s="40">
        <f t="shared" si="10"/>
        <v>8.0500000000000007</v>
      </c>
      <c r="AC32" s="41">
        <f t="shared" si="11"/>
        <v>121.95</v>
      </c>
      <c r="AD32" s="7"/>
      <c r="AE32" s="7"/>
    </row>
    <row r="33" spans="1:31" x14ac:dyDescent="0.25">
      <c r="A33" s="28">
        <v>26</v>
      </c>
      <c r="B33" s="29" t="s">
        <v>109</v>
      </c>
      <c r="C33" s="29" t="s">
        <v>110</v>
      </c>
      <c r="D33" s="29" t="s">
        <v>53</v>
      </c>
      <c r="E33" s="30">
        <v>130</v>
      </c>
      <c r="F33" s="31">
        <f t="shared" si="4"/>
        <v>4.333333333333333</v>
      </c>
      <c r="G33" s="32">
        <f t="shared" si="0"/>
        <v>0.54166666666666663</v>
      </c>
      <c r="H33" s="32">
        <f t="shared" si="1"/>
        <v>30</v>
      </c>
      <c r="I33" s="43"/>
      <c r="J33" s="34">
        <v>30</v>
      </c>
      <c r="K33" s="35">
        <v>0</v>
      </c>
      <c r="L33" s="34">
        <f t="shared" si="2"/>
        <v>0</v>
      </c>
      <c r="M33" s="34">
        <v>0</v>
      </c>
      <c r="N33" s="34"/>
      <c r="O33" s="34">
        <f t="shared" si="5"/>
        <v>130</v>
      </c>
      <c r="P33" s="36">
        <v>130</v>
      </c>
      <c r="Q33" s="36">
        <v>9685.7999999999993</v>
      </c>
      <c r="R33" s="37">
        <v>4304.8</v>
      </c>
      <c r="S33" s="36">
        <f t="shared" si="6"/>
        <v>14120.599999999999</v>
      </c>
      <c r="T33" s="38">
        <f t="shared" si="7"/>
        <v>6</v>
      </c>
      <c r="U33" s="38">
        <f t="shared" si="8"/>
        <v>0.75</v>
      </c>
      <c r="V33" s="38">
        <f t="shared" si="9"/>
        <v>1.3</v>
      </c>
      <c r="W33" s="39">
        <v>0</v>
      </c>
      <c r="X33" s="38">
        <f t="shared" si="3"/>
        <v>0</v>
      </c>
      <c r="Y33" s="38">
        <v>0</v>
      </c>
      <c r="Z33" s="38">
        <v>0</v>
      </c>
      <c r="AA33" s="38">
        <v>0</v>
      </c>
      <c r="AB33" s="40">
        <f t="shared" si="10"/>
        <v>8.0500000000000007</v>
      </c>
      <c r="AC33" s="41">
        <f t="shared" si="11"/>
        <v>121.95</v>
      </c>
      <c r="AD33" s="7"/>
      <c r="AE33" s="7"/>
    </row>
    <row r="34" spans="1:31" x14ac:dyDescent="0.25">
      <c r="A34" s="28">
        <v>27</v>
      </c>
      <c r="B34" s="29" t="s">
        <v>111</v>
      </c>
      <c r="C34" s="29" t="s">
        <v>112</v>
      </c>
      <c r="D34" s="29" t="s">
        <v>70</v>
      </c>
      <c r="E34" s="30">
        <v>130</v>
      </c>
      <c r="F34" s="31">
        <f t="shared" si="4"/>
        <v>4.333333333333333</v>
      </c>
      <c r="G34" s="32">
        <f t="shared" si="0"/>
        <v>0.54166666666666663</v>
      </c>
      <c r="H34" s="32">
        <f t="shared" si="1"/>
        <v>30</v>
      </c>
      <c r="I34" s="43"/>
      <c r="J34" s="34">
        <v>30</v>
      </c>
      <c r="K34" s="35">
        <v>0</v>
      </c>
      <c r="L34" s="34">
        <f t="shared" si="2"/>
        <v>0</v>
      </c>
      <c r="M34" s="34">
        <v>0</v>
      </c>
      <c r="N34" s="34"/>
      <c r="O34" s="34">
        <f t="shared" si="5"/>
        <v>130</v>
      </c>
      <c r="P34" s="36">
        <v>130</v>
      </c>
      <c r="Q34" s="36">
        <v>9685.7999999999993</v>
      </c>
      <c r="R34" s="37">
        <v>4304.8</v>
      </c>
      <c r="S34" s="36">
        <f t="shared" si="6"/>
        <v>14120.599999999999</v>
      </c>
      <c r="T34" s="38">
        <f t="shared" si="7"/>
        <v>6</v>
      </c>
      <c r="U34" s="38">
        <f t="shared" si="8"/>
        <v>0.75</v>
      </c>
      <c r="V34" s="38">
        <f t="shared" si="9"/>
        <v>1.3</v>
      </c>
      <c r="W34" s="39">
        <v>0</v>
      </c>
      <c r="X34" s="38">
        <f t="shared" si="3"/>
        <v>0</v>
      </c>
      <c r="Y34" s="38">
        <v>0</v>
      </c>
      <c r="Z34" s="38">
        <v>0</v>
      </c>
      <c r="AA34" s="38">
        <v>0</v>
      </c>
      <c r="AB34" s="40">
        <f t="shared" si="10"/>
        <v>8.0500000000000007</v>
      </c>
      <c r="AC34" s="41">
        <f t="shared" si="11"/>
        <v>121.95</v>
      </c>
      <c r="AD34" s="7"/>
      <c r="AE34" s="7"/>
    </row>
    <row r="35" spans="1:31" x14ac:dyDescent="0.25">
      <c r="A35" s="28">
        <v>28</v>
      </c>
      <c r="B35" s="29" t="s">
        <v>113</v>
      </c>
      <c r="C35" s="29" t="s">
        <v>114</v>
      </c>
      <c r="D35" s="29" t="s">
        <v>115</v>
      </c>
      <c r="E35" s="30">
        <v>130</v>
      </c>
      <c r="F35" s="31">
        <f t="shared" si="4"/>
        <v>4.333333333333333</v>
      </c>
      <c r="G35" s="32">
        <f t="shared" si="0"/>
        <v>0.54166666666666663</v>
      </c>
      <c r="H35" s="32">
        <f t="shared" si="1"/>
        <v>30</v>
      </c>
      <c r="I35" s="43"/>
      <c r="J35" s="34">
        <v>30</v>
      </c>
      <c r="K35" s="35">
        <v>0</v>
      </c>
      <c r="L35" s="34">
        <f t="shared" si="2"/>
        <v>0</v>
      </c>
      <c r="M35" s="34">
        <v>0</v>
      </c>
      <c r="N35" s="34"/>
      <c r="O35" s="34">
        <f t="shared" si="5"/>
        <v>130</v>
      </c>
      <c r="P35" s="36">
        <v>130</v>
      </c>
      <c r="Q35" s="36">
        <v>9685.7999999999993</v>
      </c>
      <c r="R35" s="37">
        <v>4304.8</v>
      </c>
      <c r="S35" s="36">
        <f t="shared" si="6"/>
        <v>14120.599999999999</v>
      </c>
      <c r="T35" s="38">
        <f t="shared" si="7"/>
        <v>6</v>
      </c>
      <c r="U35" s="38">
        <f t="shared" si="8"/>
        <v>0.75</v>
      </c>
      <c r="V35" s="38">
        <f t="shared" si="9"/>
        <v>1.3</v>
      </c>
      <c r="W35" s="39">
        <v>0</v>
      </c>
      <c r="X35" s="38">
        <f t="shared" si="3"/>
        <v>0</v>
      </c>
      <c r="Y35" s="38">
        <v>0</v>
      </c>
      <c r="Z35" s="38">
        <v>0</v>
      </c>
      <c r="AA35" s="38">
        <v>0</v>
      </c>
      <c r="AB35" s="40">
        <f t="shared" si="10"/>
        <v>8.0500000000000007</v>
      </c>
      <c r="AC35" s="41">
        <f t="shared" si="11"/>
        <v>121.95</v>
      </c>
      <c r="AD35" s="7"/>
      <c r="AE35" s="7"/>
    </row>
    <row r="36" spans="1:31" x14ac:dyDescent="0.25">
      <c r="A36" s="28">
        <v>29</v>
      </c>
      <c r="B36" s="29" t="s">
        <v>120</v>
      </c>
      <c r="C36" s="29" t="s">
        <v>121</v>
      </c>
      <c r="D36" s="29" t="s">
        <v>70</v>
      </c>
      <c r="E36" s="30">
        <v>130</v>
      </c>
      <c r="F36" s="31">
        <f t="shared" si="4"/>
        <v>4.333333333333333</v>
      </c>
      <c r="G36" s="32">
        <f t="shared" si="0"/>
        <v>0.54166666666666663</v>
      </c>
      <c r="H36" s="32">
        <f t="shared" si="1"/>
        <v>30</v>
      </c>
      <c r="I36" s="43"/>
      <c r="J36" s="34">
        <v>30</v>
      </c>
      <c r="K36" s="35">
        <v>0</v>
      </c>
      <c r="L36" s="34">
        <f t="shared" si="2"/>
        <v>0</v>
      </c>
      <c r="M36" s="34">
        <v>0</v>
      </c>
      <c r="N36" s="34"/>
      <c r="O36" s="34">
        <v>130</v>
      </c>
      <c r="P36" s="36">
        <v>130</v>
      </c>
      <c r="Q36" s="36">
        <v>9685.7999999999993</v>
      </c>
      <c r="R36" s="37">
        <v>4304.8</v>
      </c>
      <c r="S36" s="36">
        <f t="shared" si="6"/>
        <v>14120.599999999999</v>
      </c>
      <c r="T36" s="38">
        <f t="shared" si="7"/>
        <v>6</v>
      </c>
      <c r="U36" s="38">
        <f t="shared" si="8"/>
        <v>0.75</v>
      </c>
      <c r="V36" s="38">
        <f t="shared" si="9"/>
        <v>1.3</v>
      </c>
      <c r="W36" s="39">
        <v>0</v>
      </c>
      <c r="X36" s="38">
        <f t="shared" si="3"/>
        <v>0</v>
      </c>
      <c r="Y36" s="38">
        <v>0</v>
      </c>
      <c r="Z36" s="38">
        <v>0</v>
      </c>
      <c r="AA36" s="38">
        <v>0</v>
      </c>
      <c r="AB36" s="40">
        <f t="shared" si="10"/>
        <v>8.0500000000000007</v>
      </c>
      <c r="AC36" s="41">
        <f t="shared" si="11"/>
        <v>121.95</v>
      </c>
      <c r="AD36" s="7"/>
      <c r="AE36" s="7"/>
    </row>
    <row r="37" spans="1:31" x14ac:dyDescent="0.25">
      <c r="A37" s="28">
        <v>30</v>
      </c>
      <c r="B37" s="29" t="s">
        <v>122</v>
      </c>
      <c r="C37" s="29" t="s">
        <v>123</v>
      </c>
      <c r="D37" s="29" t="s">
        <v>70</v>
      </c>
      <c r="E37" s="30">
        <v>130</v>
      </c>
      <c r="F37" s="31">
        <f t="shared" si="4"/>
        <v>4.333333333333333</v>
      </c>
      <c r="G37" s="32">
        <f t="shared" si="0"/>
        <v>0.54166666666666663</v>
      </c>
      <c r="H37" s="32">
        <f t="shared" si="1"/>
        <v>30</v>
      </c>
      <c r="I37" s="43"/>
      <c r="J37" s="34">
        <v>30</v>
      </c>
      <c r="K37" s="35">
        <v>0</v>
      </c>
      <c r="L37" s="34">
        <f t="shared" si="2"/>
        <v>0</v>
      </c>
      <c r="M37" s="34">
        <v>0</v>
      </c>
      <c r="N37" s="34"/>
      <c r="O37" s="34">
        <v>130</v>
      </c>
      <c r="P37" s="36">
        <v>130</v>
      </c>
      <c r="Q37" s="36">
        <v>9685.7999999999993</v>
      </c>
      <c r="R37" s="37">
        <v>4304.8</v>
      </c>
      <c r="S37" s="36">
        <f t="shared" si="6"/>
        <v>14120.599999999999</v>
      </c>
      <c r="T37" s="38">
        <f t="shared" si="7"/>
        <v>6</v>
      </c>
      <c r="U37" s="38">
        <f t="shared" si="8"/>
        <v>0.75</v>
      </c>
      <c r="V37" s="38">
        <f t="shared" si="9"/>
        <v>1.3</v>
      </c>
      <c r="W37" s="39">
        <v>0</v>
      </c>
      <c r="X37" s="38">
        <f t="shared" si="3"/>
        <v>0</v>
      </c>
      <c r="Y37" s="38">
        <v>0</v>
      </c>
      <c r="Z37" s="38">
        <v>0</v>
      </c>
      <c r="AA37" s="38">
        <v>0</v>
      </c>
      <c r="AB37" s="40">
        <f t="shared" si="10"/>
        <v>8.0500000000000007</v>
      </c>
      <c r="AC37" s="41">
        <f t="shared" si="11"/>
        <v>121.95</v>
      </c>
      <c r="AD37" s="7"/>
      <c r="AE37" s="7"/>
    </row>
    <row r="38" spans="1:31" x14ac:dyDescent="0.25">
      <c r="A38" s="28">
        <v>31</v>
      </c>
      <c r="B38" s="29" t="s">
        <v>124</v>
      </c>
      <c r="C38" s="29" t="s">
        <v>125</v>
      </c>
      <c r="D38" s="29" t="s">
        <v>65</v>
      </c>
      <c r="E38" s="30">
        <v>130</v>
      </c>
      <c r="F38" s="31">
        <f t="shared" si="4"/>
        <v>4.333333333333333</v>
      </c>
      <c r="G38" s="32">
        <f t="shared" si="0"/>
        <v>0.54166666666666663</v>
      </c>
      <c r="H38" s="32">
        <f t="shared" si="1"/>
        <v>30</v>
      </c>
      <c r="I38" s="43"/>
      <c r="J38" s="34">
        <v>30</v>
      </c>
      <c r="K38" s="35">
        <v>0</v>
      </c>
      <c r="L38" s="34">
        <v>0</v>
      </c>
      <c r="M38" s="34">
        <v>0</v>
      </c>
      <c r="N38" s="34"/>
      <c r="O38" s="34">
        <v>130</v>
      </c>
      <c r="P38" s="36">
        <v>130</v>
      </c>
      <c r="Q38" s="36">
        <v>9685.7999999999993</v>
      </c>
      <c r="R38" s="37">
        <v>4304.8</v>
      </c>
      <c r="S38" s="36">
        <f t="shared" si="6"/>
        <v>14120.599999999999</v>
      </c>
      <c r="T38" s="38">
        <f t="shared" si="7"/>
        <v>6</v>
      </c>
      <c r="U38" s="38">
        <f t="shared" si="8"/>
        <v>0.75</v>
      </c>
      <c r="V38" s="38">
        <f t="shared" si="9"/>
        <v>1.3</v>
      </c>
      <c r="W38" s="39">
        <v>0</v>
      </c>
      <c r="X38" s="38">
        <f t="shared" si="3"/>
        <v>0</v>
      </c>
      <c r="Y38" s="38">
        <v>0</v>
      </c>
      <c r="Z38" s="38">
        <v>0</v>
      </c>
      <c r="AA38" s="38">
        <v>0</v>
      </c>
      <c r="AB38" s="40">
        <f t="shared" si="10"/>
        <v>8.0500000000000007</v>
      </c>
      <c r="AC38" s="41">
        <f t="shared" si="11"/>
        <v>121.95</v>
      </c>
      <c r="AD38" s="7"/>
      <c r="AE38" s="7"/>
    </row>
    <row r="39" spans="1:31" x14ac:dyDescent="0.25">
      <c r="A39" s="28"/>
      <c r="B39" s="44"/>
      <c r="C39" s="45"/>
      <c r="D39" s="28"/>
      <c r="E39" s="46">
        <f>SUM(E8:E38)</f>
        <v>4030</v>
      </c>
      <c r="F39" s="47">
        <f>SUM(F8:F38)</f>
        <v>134.33333333333329</v>
      </c>
      <c r="G39" s="47">
        <f>SUM(G8:G38)</f>
        <v>16.791666666666661</v>
      </c>
      <c r="H39" s="47">
        <f>SUM(H8:H38)</f>
        <v>930</v>
      </c>
      <c r="I39" s="48"/>
      <c r="J39" s="49"/>
      <c r="K39" s="46"/>
      <c r="L39" s="46"/>
      <c r="M39" s="46">
        <f t="shared" ref="M39:V39" si="12">SUM(M8:M38)</f>
        <v>0</v>
      </c>
      <c r="N39" s="46">
        <f t="shared" si="12"/>
        <v>0</v>
      </c>
      <c r="O39" s="46">
        <f t="shared" si="12"/>
        <v>4030</v>
      </c>
      <c r="P39" s="46">
        <f t="shared" si="12"/>
        <v>4030</v>
      </c>
      <c r="Q39" s="46">
        <f>SUM(Q8:Q38)</f>
        <v>300259.79999999981</v>
      </c>
      <c r="R39" s="50">
        <f>SUM(R8:R38)</f>
        <v>133448.80000000005</v>
      </c>
      <c r="S39" s="46">
        <f t="shared" si="12"/>
        <v>437738.5999999998</v>
      </c>
      <c r="T39" s="46">
        <f t="shared" si="12"/>
        <v>186</v>
      </c>
      <c r="U39" s="51">
        <f t="shared" si="12"/>
        <v>23.25</v>
      </c>
      <c r="V39" s="46">
        <f t="shared" si="12"/>
        <v>40.29999999999999</v>
      </c>
      <c r="W39" s="39">
        <v>0</v>
      </c>
      <c r="X39" s="38">
        <f t="shared" si="3"/>
        <v>0</v>
      </c>
      <c r="Y39" s="38">
        <v>0</v>
      </c>
      <c r="Z39" s="38">
        <v>0</v>
      </c>
      <c r="AA39" s="38">
        <v>0</v>
      </c>
      <c r="AB39" s="46">
        <f>SUM(AB8:AB38)</f>
        <v>249.55000000000015</v>
      </c>
      <c r="AC39" s="50">
        <f>SUM(AC8:AC38)</f>
        <v>3780.449999999998</v>
      </c>
      <c r="AD39" s="42"/>
      <c r="AE39" s="42"/>
    </row>
    <row r="40" spans="1:31" x14ac:dyDescent="0.25">
      <c r="A40" s="52"/>
      <c r="B40" s="147"/>
      <c r="C40" s="147"/>
      <c r="D40" s="147"/>
      <c r="E40" s="52"/>
      <c r="F40" s="53"/>
      <c r="G40" s="53"/>
      <c r="H40" s="53"/>
      <c r="I40" s="52"/>
      <c r="J40" s="52"/>
      <c r="K40" s="52"/>
      <c r="L40" s="52"/>
      <c r="M40" s="52"/>
      <c r="N40" s="52"/>
      <c r="O40" s="52"/>
      <c r="P40" s="16"/>
      <c r="Q40" s="16"/>
      <c r="R40" s="16"/>
      <c r="S40" s="54">
        <f>+S39*9%</f>
        <v>39396.47399999998</v>
      </c>
      <c r="T40" s="7"/>
      <c r="U40" s="55"/>
      <c r="V40" s="7"/>
      <c r="W40" s="7"/>
      <c r="X40" s="7"/>
      <c r="Y40" s="7"/>
      <c r="Z40" s="7"/>
      <c r="AA40" s="7"/>
      <c r="AB40" s="7"/>
      <c r="AC40" s="7"/>
      <c r="AD40" s="42"/>
      <c r="AE40" s="7"/>
    </row>
    <row r="41" spans="1:31" x14ac:dyDescent="0.25">
      <c r="A41" s="7"/>
      <c r="B41" s="56" t="s">
        <v>116</v>
      </c>
      <c r="C41" s="57"/>
      <c r="D41" s="57"/>
      <c r="E41" s="58"/>
      <c r="F41" s="57"/>
      <c r="G41" s="21"/>
      <c r="H41" s="57"/>
      <c r="I41" s="59"/>
      <c r="J41" s="57"/>
      <c r="K41" s="57"/>
      <c r="L41" s="57"/>
      <c r="M41" s="16"/>
      <c r="N41" s="16"/>
      <c r="O41" s="60"/>
      <c r="P41" s="11"/>
      <c r="Q41" s="61"/>
      <c r="R41" s="62"/>
      <c r="S41" s="63" t="s">
        <v>117</v>
      </c>
      <c r="T41" s="62"/>
      <c r="U41" s="62"/>
      <c r="V41" s="62"/>
      <c r="W41" s="62"/>
      <c r="X41" s="62"/>
      <c r="Y41" s="62"/>
      <c r="Z41" s="62"/>
      <c r="AA41" s="62"/>
      <c r="AB41" s="62"/>
      <c r="AC41" s="62">
        <f>+AC39</f>
        <v>3780.449999999998</v>
      </c>
      <c r="AD41" s="42"/>
      <c r="AE41" s="7"/>
    </row>
    <row r="42" spans="1:31" x14ac:dyDescent="0.25">
      <c r="A42" s="7"/>
      <c r="B42" s="64"/>
      <c r="C42" s="65"/>
      <c r="D42" s="57"/>
      <c r="E42" s="65"/>
      <c r="F42" s="66"/>
      <c r="G42" s="66"/>
      <c r="H42" s="66"/>
      <c r="I42" s="67"/>
      <c r="J42" s="11"/>
      <c r="K42" s="11"/>
      <c r="L42" s="11"/>
      <c r="M42" s="11"/>
      <c r="N42" s="11"/>
      <c r="O42" s="11"/>
      <c r="P42" s="11"/>
      <c r="Q42" s="11"/>
      <c r="R42" s="68"/>
      <c r="S42" s="69" t="s">
        <v>118</v>
      </c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</row>
    <row r="43" spans="1:31" x14ac:dyDescent="0.25">
      <c r="A43" s="7"/>
      <c r="B43" s="70"/>
      <c r="C43" s="7"/>
      <c r="D43" s="21"/>
      <c r="E43" s="7"/>
      <c r="F43" s="21"/>
      <c r="G43" s="21"/>
      <c r="H43" s="21"/>
      <c r="I43" s="71"/>
      <c r="J43" s="7"/>
      <c r="K43" s="7"/>
      <c r="L43" s="7"/>
      <c r="M43" s="7"/>
      <c r="N43" s="7"/>
      <c r="O43" s="7"/>
      <c r="P43" s="11"/>
      <c r="Q43" s="11"/>
      <c r="R43" s="11"/>
      <c r="S43" s="11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5">
      <c r="A44" s="7"/>
      <c r="B44" s="64"/>
      <c r="C44" s="65"/>
      <c r="D44" s="66"/>
      <c r="E44" s="65"/>
      <c r="F44" s="66"/>
      <c r="G44" s="66"/>
      <c r="H44" s="66"/>
      <c r="I44" s="67"/>
      <c r="J44" s="65"/>
      <c r="K44" s="65"/>
      <c r="L44" s="65"/>
      <c r="M44" s="65"/>
      <c r="N44" s="7"/>
      <c r="O44" s="7"/>
      <c r="P44" s="11"/>
      <c r="Q44" s="11"/>
      <c r="R44" s="11"/>
      <c r="S44" s="11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</sheetData>
  <mergeCells count="21">
    <mergeCell ref="T2:T4"/>
    <mergeCell ref="U2:U4"/>
    <mergeCell ref="J4:O4"/>
    <mergeCell ref="A6:A7"/>
    <mergeCell ref="B6:B7"/>
    <mergeCell ref="C6:C7"/>
    <mergeCell ref="D6:D7"/>
    <mergeCell ref="E6:E7"/>
    <mergeCell ref="I6:I7"/>
    <mergeCell ref="J6:J7"/>
    <mergeCell ref="U6:U7"/>
    <mergeCell ref="V6:V7"/>
    <mergeCell ref="AA6:AA7"/>
    <mergeCell ref="AB6:AB7"/>
    <mergeCell ref="B40:D40"/>
    <mergeCell ref="O6:O7"/>
    <mergeCell ref="P6:P7"/>
    <mergeCell ref="Q6:Q7"/>
    <mergeCell ref="R6:R7"/>
    <mergeCell ref="S6:S7"/>
    <mergeCell ref="T6:T7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52"/>
  <sheetViews>
    <sheetView tabSelected="1" zoomScale="80" zoomScaleNormal="80" workbookViewId="0">
      <selection activeCell="U2" sqref="U2:U4"/>
    </sheetView>
  </sheetViews>
  <sheetFormatPr baseColWidth="10" defaultRowHeight="15" x14ac:dyDescent="0.25"/>
  <cols>
    <col min="1" max="1" width="5.7109375" customWidth="1"/>
    <col min="2" max="2" width="21.7109375" customWidth="1"/>
    <col min="3" max="3" width="14.7109375" customWidth="1"/>
    <col min="4" max="4" width="17" customWidth="1"/>
    <col min="5" max="5" width="12.7109375" customWidth="1"/>
    <col min="6" max="6" width="11.7109375" customWidth="1"/>
    <col min="7" max="7" width="11.5703125" customWidth="1"/>
    <col min="8" max="8" width="13.42578125" customWidth="1"/>
    <col min="9" max="9" width="11.28515625" customWidth="1"/>
    <col min="10" max="10" width="12.7109375" customWidth="1"/>
    <col min="11" max="11" width="13" customWidth="1"/>
    <col min="12" max="15" width="11.42578125" customWidth="1"/>
    <col min="16" max="16" width="10.7109375" customWidth="1"/>
    <col min="17" max="17" width="14.5703125" customWidth="1"/>
    <col min="18" max="18" width="12.5703125" customWidth="1"/>
    <col min="19" max="19" width="14.85546875" customWidth="1"/>
    <col min="20" max="20" width="11.42578125" customWidth="1"/>
    <col min="21" max="22" width="13" customWidth="1"/>
    <col min="23" max="23" width="13.140625" customWidth="1"/>
    <col min="24" max="26" width="11.42578125" customWidth="1"/>
    <col min="27" max="27" width="13.28515625" customWidth="1"/>
    <col min="28" max="28" width="11.42578125" customWidth="1"/>
    <col min="29" max="29" width="14.5703125" customWidth="1"/>
    <col min="30" max="30" width="17.5703125" customWidth="1"/>
  </cols>
  <sheetData>
    <row r="1" spans="1:30" ht="15.75" thickBot="1" x14ac:dyDescent="0.3"/>
    <row r="2" spans="1:30" ht="15.75" thickTop="1" x14ac:dyDescent="0.25">
      <c r="A2" s="6"/>
      <c r="B2" t="s">
        <v>131</v>
      </c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9"/>
      <c r="O2" s="10"/>
      <c r="P2" s="11"/>
      <c r="Q2" s="11"/>
      <c r="R2" s="11"/>
      <c r="S2" s="11"/>
      <c r="T2" s="11"/>
      <c r="U2" s="134">
        <f>500*U5</f>
        <v>2000</v>
      </c>
      <c r="V2" s="137">
        <f>700*V5</f>
        <v>2800</v>
      </c>
      <c r="W2" s="137">
        <f>1000*V5</f>
        <v>4000</v>
      </c>
      <c r="X2" s="10"/>
      <c r="Y2" s="10"/>
      <c r="Z2" s="10"/>
      <c r="AA2" s="10"/>
      <c r="AB2" s="10"/>
      <c r="AC2" s="12"/>
      <c r="AD2" s="11"/>
    </row>
    <row r="3" spans="1:30" x14ac:dyDescent="0.25">
      <c r="A3" s="6"/>
      <c r="B3" s="14"/>
      <c r="C3" s="7"/>
      <c r="D3" s="7"/>
      <c r="E3" s="7"/>
      <c r="F3" s="15" t="s">
        <v>154</v>
      </c>
      <c r="G3" s="16"/>
      <c r="H3" s="17"/>
      <c r="I3" s="16"/>
      <c r="J3" s="15"/>
      <c r="K3" s="8"/>
      <c r="L3" s="8"/>
      <c r="M3" s="8"/>
      <c r="N3" s="9"/>
      <c r="O3" s="10"/>
      <c r="P3" s="11"/>
      <c r="Q3" s="11"/>
      <c r="R3" s="11" t="s">
        <v>1</v>
      </c>
      <c r="S3" s="11"/>
      <c r="T3" s="11"/>
      <c r="U3" s="135"/>
      <c r="V3" s="138"/>
      <c r="W3" s="138"/>
      <c r="X3" s="10"/>
      <c r="Y3" s="10"/>
      <c r="Z3" s="10"/>
      <c r="AA3" s="10"/>
      <c r="AB3" s="10"/>
      <c r="AC3" s="12"/>
      <c r="AD3" s="76" t="s">
        <v>1</v>
      </c>
    </row>
    <row r="4" spans="1:30" ht="15.75" thickBot="1" x14ac:dyDescent="0.3">
      <c r="A4" s="18"/>
      <c r="B4" s="19"/>
      <c r="C4" s="20"/>
      <c r="D4" s="21"/>
      <c r="E4" s="10"/>
      <c r="F4" s="21"/>
      <c r="G4" s="21"/>
      <c r="H4" s="21"/>
      <c r="I4" s="10"/>
      <c r="J4" s="140"/>
      <c r="K4" s="140"/>
      <c r="L4" s="140"/>
      <c r="M4" s="140"/>
      <c r="N4" s="140"/>
      <c r="O4" s="140"/>
      <c r="P4" s="11"/>
      <c r="Q4" s="22">
        <v>160</v>
      </c>
      <c r="R4" s="22">
        <v>40</v>
      </c>
      <c r="S4" s="11"/>
      <c r="T4" s="11"/>
      <c r="U4" s="136"/>
      <c r="V4" s="139"/>
      <c r="W4" s="139"/>
      <c r="X4" s="10"/>
      <c r="Y4" s="10"/>
      <c r="Z4" s="10"/>
      <c r="AA4" s="10"/>
      <c r="AB4" s="10"/>
      <c r="AC4" s="10"/>
      <c r="AD4" s="23"/>
    </row>
    <row r="5" spans="1:30" ht="16.5" thickTop="1" thickBot="1" x14ac:dyDescent="0.3">
      <c r="A5" s="20"/>
      <c r="B5" s="19" t="s">
        <v>2</v>
      </c>
      <c r="C5" s="20"/>
      <c r="D5" s="21"/>
      <c r="E5" s="10"/>
      <c r="F5" s="21"/>
      <c r="G5" s="21"/>
      <c r="H5" s="21"/>
      <c r="I5" s="10"/>
      <c r="J5" s="10"/>
      <c r="K5" s="10"/>
      <c r="L5" s="10"/>
      <c r="M5" s="10"/>
      <c r="N5" s="10"/>
      <c r="O5" s="10"/>
      <c r="P5" s="24" t="s">
        <v>3</v>
      </c>
      <c r="Q5" s="25">
        <v>437.36</v>
      </c>
      <c r="R5" s="26">
        <v>417.36</v>
      </c>
      <c r="S5" s="11"/>
      <c r="T5" s="11"/>
      <c r="U5" s="27">
        <v>4</v>
      </c>
      <c r="V5" s="27">
        <v>4</v>
      </c>
      <c r="W5" s="10"/>
      <c r="X5" s="10"/>
      <c r="Y5" s="10"/>
      <c r="Z5" s="10"/>
      <c r="AA5" s="10"/>
      <c r="AB5" s="10"/>
      <c r="AC5" s="10"/>
      <c r="AD5" s="23"/>
    </row>
    <row r="6" spans="1:30" ht="45" x14ac:dyDescent="0.25">
      <c r="A6" s="141"/>
      <c r="B6" s="143" t="s">
        <v>4</v>
      </c>
      <c r="C6" s="143" t="s">
        <v>5</v>
      </c>
      <c r="D6" s="143" t="s">
        <v>6</v>
      </c>
      <c r="E6" s="144" t="s">
        <v>7</v>
      </c>
      <c r="F6" s="1" t="s">
        <v>8</v>
      </c>
      <c r="G6" s="2" t="s">
        <v>8</v>
      </c>
      <c r="H6" s="2" t="s">
        <v>9</v>
      </c>
      <c r="I6" s="143" t="s">
        <v>10</v>
      </c>
      <c r="J6" s="143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43" t="s">
        <v>16</v>
      </c>
      <c r="P6" s="148" t="s">
        <v>17</v>
      </c>
      <c r="Q6" s="148" t="s">
        <v>18</v>
      </c>
      <c r="R6" s="148" t="s">
        <v>19</v>
      </c>
      <c r="S6" s="149" t="s">
        <v>20</v>
      </c>
      <c r="T6" s="150" t="s">
        <v>126</v>
      </c>
      <c r="U6" s="145" t="s">
        <v>21</v>
      </c>
      <c r="V6" s="145" t="s">
        <v>22</v>
      </c>
      <c r="W6" s="145" t="s">
        <v>23</v>
      </c>
      <c r="X6" s="3" t="s">
        <v>24</v>
      </c>
      <c r="Y6" s="3" t="s">
        <v>25</v>
      </c>
      <c r="Z6" s="3" t="s">
        <v>26</v>
      </c>
      <c r="AA6" s="3" t="s">
        <v>27</v>
      </c>
      <c r="AB6" s="146" t="s">
        <v>28</v>
      </c>
      <c r="AC6" s="143" t="s">
        <v>29</v>
      </c>
      <c r="AD6" s="1" t="s">
        <v>30</v>
      </c>
    </row>
    <row r="7" spans="1:30" ht="30.75" thickBot="1" x14ac:dyDescent="0.3">
      <c r="A7" s="142"/>
      <c r="B7" s="143"/>
      <c r="C7" s="143"/>
      <c r="D7" s="143"/>
      <c r="E7" s="144"/>
      <c r="F7" s="1" t="s">
        <v>31</v>
      </c>
      <c r="G7" s="4" t="s">
        <v>32</v>
      </c>
      <c r="H7" s="4" t="s">
        <v>33</v>
      </c>
      <c r="I7" s="143"/>
      <c r="J7" s="143"/>
      <c r="K7" s="1" t="s">
        <v>34</v>
      </c>
      <c r="L7" s="1"/>
      <c r="M7" s="1" t="s">
        <v>35</v>
      </c>
      <c r="N7" s="1" t="s">
        <v>36</v>
      </c>
      <c r="O7" s="143"/>
      <c r="P7" s="149"/>
      <c r="Q7" s="149"/>
      <c r="R7" s="149"/>
      <c r="S7" s="149"/>
      <c r="T7" s="148"/>
      <c r="U7" s="145"/>
      <c r="V7" s="145"/>
      <c r="W7" s="145"/>
      <c r="X7" s="5" t="s">
        <v>37</v>
      </c>
      <c r="Y7" s="5" t="s">
        <v>37</v>
      </c>
      <c r="Z7" s="5"/>
      <c r="AA7" s="5"/>
      <c r="AB7" s="146"/>
      <c r="AC7" s="143"/>
      <c r="AD7" s="1" t="s">
        <v>38</v>
      </c>
    </row>
    <row r="8" spans="1:30" x14ac:dyDescent="0.25">
      <c r="A8" s="28">
        <v>1</v>
      </c>
      <c r="B8" s="79" t="s">
        <v>39</v>
      </c>
      <c r="C8" s="79" t="s">
        <v>40</v>
      </c>
      <c r="D8" s="79" t="s">
        <v>41</v>
      </c>
      <c r="E8" s="82">
        <v>700</v>
      </c>
      <c r="F8" s="72">
        <f>E8/30</f>
        <v>23.333333333333332</v>
      </c>
      <c r="G8" s="73">
        <f>F8/8</f>
        <v>2.9166666666666665</v>
      </c>
      <c r="H8" s="73">
        <f>E8*12/52</f>
        <v>161.53846153846155</v>
      </c>
      <c r="I8" s="33"/>
      <c r="J8" s="83">
        <v>29</v>
      </c>
      <c r="K8" s="96">
        <v>0</v>
      </c>
      <c r="L8" s="83">
        <v>0</v>
      </c>
      <c r="M8" s="83">
        <v>0</v>
      </c>
      <c r="N8" s="83">
        <f>F8*1</f>
        <v>23.333333333333332</v>
      </c>
      <c r="O8" s="83">
        <f>F8*J8+K8+L8+M8+N8</f>
        <v>700</v>
      </c>
      <c r="P8" s="84">
        <f>+O8</f>
        <v>700</v>
      </c>
      <c r="Q8" s="84">
        <f>+Q4*Q5</f>
        <v>69977.600000000006</v>
      </c>
      <c r="R8" s="37">
        <f>(($R$4*$R$5)/30)*29</f>
        <v>16137.92</v>
      </c>
      <c r="S8" s="84">
        <f>+P8+Q8+R8</f>
        <v>86815.52</v>
      </c>
      <c r="T8" s="84">
        <v>160</v>
      </c>
      <c r="U8" s="38">
        <f>E8*12/52*4%*4</f>
        <v>25.846153846153847</v>
      </c>
      <c r="V8" s="38">
        <f>E8*12/52*0.5%*4</f>
        <v>3.2307692307692308</v>
      </c>
      <c r="W8" s="38">
        <f>P8*1%</f>
        <v>7</v>
      </c>
      <c r="X8" s="39">
        <v>0</v>
      </c>
      <c r="Y8" s="38">
        <f t="shared" ref="Y8:Y35" si="0">E8*X8</f>
        <v>0</v>
      </c>
      <c r="Z8" s="38">
        <v>0</v>
      </c>
      <c r="AA8" s="38">
        <v>0</v>
      </c>
      <c r="AB8" s="38">
        <v>0</v>
      </c>
      <c r="AC8" s="85">
        <f>U8+V8+W8</f>
        <v>36.07692307692308</v>
      </c>
      <c r="AD8" s="41">
        <f>+O8-AC8</f>
        <v>663.92307692307691</v>
      </c>
    </row>
    <row r="9" spans="1:30" x14ac:dyDescent="0.25">
      <c r="A9" s="28">
        <v>2</v>
      </c>
      <c r="B9" s="79" t="s">
        <v>42</v>
      </c>
      <c r="C9" s="79" t="s">
        <v>43</v>
      </c>
      <c r="D9" s="79" t="s">
        <v>44</v>
      </c>
      <c r="E9" s="82">
        <v>500</v>
      </c>
      <c r="F9" s="72">
        <f t="shared" ref="F9:F42" si="1">E9/30</f>
        <v>16.666666666666668</v>
      </c>
      <c r="G9" s="73">
        <f t="shared" ref="G9:G34" si="2">F9/8</f>
        <v>2.0833333333333335</v>
      </c>
      <c r="H9" s="73">
        <f>E9*12/52</f>
        <v>115.38461538461539</v>
      </c>
      <c r="I9" s="33"/>
      <c r="J9" s="83">
        <v>30</v>
      </c>
      <c r="K9" s="96">
        <v>0</v>
      </c>
      <c r="L9" s="83">
        <v>0</v>
      </c>
      <c r="M9" s="83">
        <v>0</v>
      </c>
      <c r="N9" s="83">
        <f>F9*2</f>
        <v>33.333333333333336</v>
      </c>
      <c r="O9" s="83">
        <f>F9*J9+K9+L9+M9+N9</f>
        <v>533.33333333333337</v>
      </c>
      <c r="P9" s="84">
        <f>+O9</f>
        <v>533.33333333333337</v>
      </c>
      <c r="Q9" s="84">
        <f>+$Q$4*Q$5</f>
        <v>69977.600000000006</v>
      </c>
      <c r="R9" s="37">
        <f>(($R$4*$R$5)/30)*J9</f>
        <v>16694.400000000001</v>
      </c>
      <c r="S9" s="84">
        <f t="shared" ref="S9:S36" si="3">+P9+Q9+R9</f>
        <v>87205.333333333343</v>
      </c>
      <c r="T9" s="84">
        <v>160</v>
      </c>
      <c r="U9" s="38">
        <f>E9*12/52*4%*4</f>
        <v>18.461538461538463</v>
      </c>
      <c r="V9" s="38">
        <f>E9*12/52*0.5%*4</f>
        <v>2.3076923076923079</v>
      </c>
      <c r="W9" s="38">
        <f t="shared" ref="W9:W43" si="4">P9*1%</f>
        <v>5.3333333333333339</v>
      </c>
      <c r="X9" s="39">
        <v>0</v>
      </c>
      <c r="Y9" s="38">
        <f t="shared" si="0"/>
        <v>0</v>
      </c>
      <c r="Z9" s="38">
        <v>0</v>
      </c>
      <c r="AA9" s="38">
        <v>0</v>
      </c>
      <c r="AB9" s="38">
        <v>0</v>
      </c>
      <c r="AC9" s="85">
        <f>U9+V9+W9</f>
        <v>26.102564102564102</v>
      </c>
      <c r="AD9" s="41">
        <f t="shared" ref="AD9:AD37" si="5">+O9-AC9</f>
        <v>507.23076923076928</v>
      </c>
    </row>
    <row r="10" spans="1:30" s="97" customFormat="1" x14ac:dyDescent="0.25">
      <c r="A10" s="90">
        <v>3</v>
      </c>
      <c r="B10" s="79" t="s">
        <v>45</v>
      </c>
      <c r="C10" s="79" t="s">
        <v>46</v>
      </c>
      <c r="D10" s="79" t="s">
        <v>47</v>
      </c>
      <c r="E10" s="82">
        <v>500</v>
      </c>
      <c r="F10" s="72">
        <f t="shared" si="1"/>
        <v>16.666666666666668</v>
      </c>
      <c r="G10" s="73">
        <f>F10/8</f>
        <v>2.0833333333333335</v>
      </c>
      <c r="H10" s="73">
        <f>E10*12/52</f>
        <v>115.38461538461539</v>
      </c>
      <c r="I10" s="33"/>
      <c r="J10" s="83">
        <v>8</v>
      </c>
      <c r="K10" s="96">
        <f>2.71*6</f>
        <v>16.259999999999998</v>
      </c>
      <c r="L10" s="83">
        <v>25</v>
      </c>
      <c r="M10" s="83">
        <v>0</v>
      </c>
      <c r="N10" s="83">
        <v>0</v>
      </c>
      <c r="O10" s="83">
        <f>F10*J10+K10+L10+M10+N10</f>
        <v>174.59333333333333</v>
      </c>
      <c r="P10" s="84">
        <f>+O10</f>
        <v>174.59333333333333</v>
      </c>
      <c r="Q10" s="84">
        <f t="shared" ref="Q10:Q42" si="6">+$Q$4*Q$5</f>
        <v>69977.600000000006</v>
      </c>
      <c r="R10" s="37">
        <f>(($R$4*$R$5)/30)*J30</f>
        <v>16694.400000000001</v>
      </c>
      <c r="S10" s="84">
        <f t="shared" si="3"/>
        <v>86846.593333333352</v>
      </c>
      <c r="T10" s="84">
        <v>160</v>
      </c>
      <c r="U10" s="38">
        <f t="shared" ref="U10:U43" si="7">E10*12/52*4%*4</f>
        <v>18.461538461538463</v>
      </c>
      <c r="V10" s="38">
        <f>E10*12/52*0.5%*4</f>
        <v>2.3076923076923079</v>
      </c>
      <c r="W10" s="38">
        <f>P10*1%</f>
        <v>1.7459333333333333</v>
      </c>
      <c r="X10" s="39">
        <v>0</v>
      </c>
      <c r="Y10" s="38">
        <f t="shared" si="0"/>
        <v>0</v>
      </c>
      <c r="Z10" s="38">
        <v>0</v>
      </c>
      <c r="AA10" s="38">
        <v>0</v>
      </c>
      <c r="AB10" s="38">
        <v>0</v>
      </c>
      <c r="AC10" s="85">
        <f>U10+V10+W10</f>
        <v>22.515164102564103</v>
      </c>
      <c r="AD10" s="41">
        <f>+O10-AC10</f>
        <v>152.07816923076922</v>
      </c>
    </row>
    <row r="11" spans="1:30" s="97" customFormat="1" x14ac:dyDescent="0.25">
      <c r="A11" s="90">
        <v>4</v>
      </c>
      <c r="B11" s="79" t="s">
        <v>48</v>
      </c>
      <c r="C11" s="79" t="s">
        <v>49</v>
      </c>
      <c r="D11" s="79" t="s">
        <v>50</v>
      </c>
      <c r="E11" s="82">
        <v>500</v>
      </c>
      <c r="F11" s="72">
        <f>E11/30</f>
        <v>16.666666666666668</v>
      </c>
      <c r="G11" s="73">
        <f t="shared" si="2"/>
        <v>2.0833333333333335</v>
      </c>
      <c r="H11" s="73">
        <f t="shared" ref="H11:H34" si="8">E11*12/52</f>
        <v>115.38461538461539</v>
      </c>
      <c r="I11" s="33"/>
      <c r="J11" s="83">
        <v>17</v>
      </c>
      <c r="K11" s="96"/>
      <c r="L11" s="83">
        <v>0</v>
      </c>
      <c r="M11" s="83">
        <v>0</v>
      </c>
      <c r="N11" s="83">
        <f>F11*2</f>
        <v>33.333333333333336</v>
      </c>
      <c r="O11" s="83">
        <f>F11*J11+K11+L11+M11+N11</f>
        <v>316.66666666666669</v>
      </c>
      <c r="P11" s="84">
        <f t="shared" ref="P11:P37" si="9">+O11</f>
        <v>316.66666666666669</v>
      </c>
      <c r="Q11" s="84">
        <f t="shared" si="6"/>
        <v>69977.600000000006</v>
      </c>
      <c r="R11" s="37">
        <f>(($R$4*$R$5)/30)*J30</f>
        <v>16694.400000000001</v>
      </c>
      <c r="S11" s="84">
        <f t="shared" si="3"/>
        <v>86988.666666666686</v>
      </c>
      <c r="T11" s="84">
        <v>160</v>
      </c>
      <c r="U11" s="38">
        <f t="shared" si="7"/>
        <v>18.461538461538463</v>
      </c>
      <c r="V11" s="38">
        <f t="shared" ref="V11:V40" si="10">E11*12/52*0.5%*4</f>
        <v>2.3076923076923079</v>
      </c>
      <c r="W11" s="38">
        <f>P11*1%</f>
        <v>3.166666666666667</v>
      </c>
      <c r="X11" s="39">
        <v>0</v>
      </c>
      <c r="Y11" s="38">
        <f t="shared" si="0"/>
        <v>0</v>
      </c>
      <c r="Z11" s="38">
        <v>0</v>
      </c>
      <c r="AA11" s="38">
        <v>0</v>
      </c>
      <c r="AB11" s="38">
        <v>0</v>
      </c>
      <c r="AC11" s="85">
        <f t="shared" ref="AC11:AC35" si="11">U11+V11+W11</f>
        <v>23.935897435897438</v>
      </c>
      <c r="AD11" s="41">
        <f t="shared" si="5"/>
        <v>292.73076923076923</v>
      </c>
    </row>
    <row r="12" spans="1:30" s="97" customFormat="1" x14ac:dyDescent="0.25">
      <c r="A12" s="90">
        <v>5</v>
      </c>
      <c r="B12" s="79" t="s">
        <v>51</v>
      </c>
      <c r="C12" s="79" t="s">
        <v>52</v>
      </c>
      <c r="D12" s="79" t="s">
        <v>53</v>
      </c>
      <c r="E12" s="82">
        <v>500</v>
      </c>
      <c r="F12" s="72">
        <f t="shared" si="1"/>
        <v>16.666666666666668</v>
      </c>
      <c r="G12" s="73">
        <f>F12/8</f>
        <v>2.0833333333333335</v>
      </c>
      <c r="H12" s="73">
        <f t="shared" si="8"/>
        <v>115.38461538461539</v>
      </c>
      <c r="I12" s="33"/>
      <c r="J12" s="83">
        <v>30</v>
      </c>
      <c r="K12" s="96">
        <v>0</v>
      </c>
      <c r="L12" s="83">
        <v>0</v>
      </c>
      <c r="M12" s="83">
        <v>0</v>
      </c>
      <c r="N12" s="83">
        <f>F12*2</f>
        <v>33.333333333333336</v>
      </c>
      <c r="O12" s="83">
        <f t="shared" ref="O12:O37" si="12">F12*J12+K12+L12+M12+N12</f>
        <v>533.33333333333337</v>
      </c>
      <c r="P12" s="84">
        <f t="shared" si="9"/>
        <v>533.33333333333337</v>
      </c>
      <c r="Q12" s="84">
        <f t="shared" si="6"/>
        <v>69977.600000000006</v>
      </c>
      <c r="R12" s="37">
        <f t="shared" ref="R12:R43" si="13">(($R$4*$R$5)/30)*J12</f>
        <v>16694.400000000001</v>
      </c>
      <c r="S12" s="84">
        <f t="shared" si="3"/>
        <v>87205.333333333343</v>
      </c>
      <c r="T12" s="84">
        <v>160</v>
      </c>
      <c r="U12" s="38">
        <f t="shared" si="7"/>
        <v>18.461538461538463</v>
      </c>
      <c r="V12" s="38">
        <f t="shared" si="10"/>
        <v>2.3076923076923079</v>
      </c>
      <c r="W12" s="38">
        <f t="shared" si="4"/>
        <v>5.3333333333333339</v>
      </c>
      <c r="X12" s="39">
        <v>0</v>
      </c>
      <c r="Y12" s="38">
        <f t="shared" si="0"/>
        <v>0</v>
      </c>
      <c r="Z12" s="38">
        <v>0</v>
      </c>
      <c r="AA12" s="38">
        <v>0</v>
      </c>
      <c r="AB12" s="38">
        <v>0</v>
      </c>
      <c r="AC12" s="85">
        <f t="shared" si="11"/>
        <v>26.102564102564102</v>
      </c>
      <c r="AD12" s="41">
        <f t="shared" si="5"/>
        <v>507.23076923076928</v>
      </c>
    </row>
    <row r="13" spans="1:30" s="97" customFormat="1" x14ac:dyDescent="0.25">
      <c r="A13" s="90">
        <v>6</v>
      </c>
      <c r="B13" s="79" t="s">
        <v>57</v>
      </c>
      <c r="C13" s="79" t="s">
        <v>58</v>
      </c>
      <c r="D13" s="79" t="s">
        <v>59</v>
      </c>
      <c r="E13" s="82">
        <v>500</v>
      </c>
      <c r="F13" s="72">
        <f t="shared" si="1"/>
        <v>16.666666666666668</v>
      </c>
      <c r="G13" s="73">
        <f t="shared" si="2"/>
        <v>2.0833333333333335</v>
      </c>
      <c r="H13" s="73">
        <f t="shared" si="8"/>
        <v>115.38461538461539</v>
      </c>
      <c r="I13" s="33"/>
      <c r="J13" s="83">
        <v>30</v>
      </c>
      <c r="K13" s="96">
        <f>2.71*20</f>
        <v>54.2</v>
      </c>
      <c r="L13" s="83">
        <f>F13*1.5*4</f>
        <v>100</v>
      </c>
      <c r="M13" s="83">
        <v>0</v>
      </c>
      <c r="N13" s="83">
        <f>F13*2</f>
        <v>33.333333333333336</v>
      </c>
      <c r="O13" s="83">
        <f t="shared" si="12"/>
        <v>687.53333333333342</v>
      </c>
      <c r="P13" s="84">
        <f t="shared" si="9"/>
        <v>687.53333333333342</v>
      </c>
      <c r="Q13" s="84">
        <f t="shared" si="6"/>
        <v>69977.600000000006</v>
      </c>
      <c r="R13" s="37">
        <f t="shared" si="13"/>
        <v>16694.400000000001</v>
      </c>
      <c r="S13" s="84">
        <f t="shared" si="3"/>
        <v>87359.533333333355</v>
      </c>
      <c r="T13" s="84">
        <v>160</v>
      </c>
      <c r="U13" s="38">
        <f t="shared" si="7"/>
        <v>18.461538461538463</v>
      </c>
      <c r="V13" s="38">
        <f t="shared" si="10"/>
        <v>2.3076923076923079</v>
      </c>
      <c r="W13" s="38">
        <f t="shared" si="4"/>
        <v>6.8753333333333346</v>
      </c>
      <c r="X13" s="39">
        <v>0</v>
      </c>
      <c r="Y13" s="38">
        <f t="shared" si="0"/>
        <v>0</v>
      </c>
      <c r="Z13" s="38">
        <v>0</v>
      </c>
      <c r="AA13" s="38">
        <v>0</v>
      </c>
      <c r="AB13" s="38">
        <v>0</v>
      </c>
      <c r="AC13" s="85">
        <f t="shared" si="11"/>
        <v>27.644564102564104</v>
      </c>
      <c r="AD13" s="41">
        <f t="shared" si="5"/>
        <v>659.8887692307693</v>
      </c>
    </row>
    <row r="14" spans="1:30" s="97" customFormat="1" x14ac:dyDescent="0.25">
      <c r="A14" s="90">
        <v>7</v>
      </c>
      <c r="B14" s="79" t="s">
        <v>60</v>
      </c>
      <c r="C14" s="79" t="s">
        <v>61</v>
      </c>
      <c r="D14" s="79" t="s">
        <v>62</v>
      </c>
      <c r="E14" s="82">
        <v>500</v>
      </c>
      <c r="F14" s="72">
        <f t="shared" si="1"/>
        <v>16.666666666666668</v>
      </c>
      <c r="G14" s="73">
        <f t="shared" si="2"/>
        <v>2.0833333333333335</v>
      </c>
      <c r="H14" s="73">
        <f t="shared" si="8"/>
        <v>115.38461538461539</v>
      </c>
      <c r="I14" s="33"/>
      <c r="J14" s="83">
        <v>27</v>
      </c>
      <c r="K14" s="96">
        <v>0</v>
      </c>
      <c r="L14" s="83">
        <f>F14*1.5*3</f>
        <v>75</v>
      </c>
      <c r="M14" s="83">
        <v>0</v>
      </c>
      <c r="N14" s="83">
        <f t="shared" ref="N14:N44" si="14">F14*1</f>
        <v>16.666666666666668</v>
      </c>
      <c r="O14" s="83">
        <f t="shared" si="12"/>
        <v>541.66666666666663</v>
      </c>
      <c r="P14" s="84">
        <f t="shared" si="9"/>
        <v>541.66666666666663</v>
      </c>
      <c r="Q14" s="84">
        <f t="shared" si="6"/>
        <v>69977.600000000006</v>
      </c>
      <c r="R14" s="37">
        <f>(($R$4*$R$5)/30)*J30</f>
        <v>16694.400000000001</v>
      </c>
      <c r="S14" s="84">
        <f t="shared" si="3"/>
        <v>87213.666666666686</v>
      </c>
      <c r="T14" s="84">
        <v>160</v>
      </c>
      <c r="U14" s="38">
        <f t="shared" si="7"/>
        <v>18.461538461538463</v>
      </c>
      <c r="V14" s="38">
        <f t="shared" si="10"/>
        <v>2.3076923076923079</v>
      </c>
      <c r="W14" s="38">
        <f t="shared" si="4"/>
        <v>5.4166666666666661</v>
      </c>
      <c r="X14" s="39">
        <v>0</v>
      </c>
      <c r="Y14" s="38">
        <f t="shared" si="0"/>
        <v>0</v>
      </c>
      <c r="Z14" s="38">
        <v>0</v>
      </c>
      <c r="AA14" s="38">
        <v>0</v>
      </c>
      <c r="AB14" s="38">
        <v>0</v>
      </c>
      <c r="AC14" s="85">
        <f t="shared" si="11"/>
        <v>26.185897435897438</v>
      </c>
      <c r="AD14" s="41">
        <f t="shared" si="5"/>
        <v>515.48076923076917</v>
      </c>
    </row>
    <row r="15" spans="1:30" s="97" customFormat="1" x14ac:dyDescent="0.25">
      <c r="A15" s="90">
        <v>8</v>
      </c>
      <c r="B15" s="79" t="s">
        <v>63</v>
      </c>
      <c r="C15" s="79" t="s">
        <v>64</v>
      </c>
      <c r="D15" s="79" t="s">
        <v>65</v>
      </c>
      <c r="E15" s="82">
        <v>700</v>
      </c>
      <c r="F15" s="72">
        <f t="shared" si="1"/>
        <v>23.333333333333332</v>
      </c>
      <c r="G15" s="73">
        <f t="shared" si="2"/>
        <v>2.9166666666666665</v>
      </c>
      <c r="H15" s="73">
        <f t="shared" si="8"/>
        <v>161.53846153846155</v>
      </c>
      <c r="I15" s="33"/>
      <c r="J15" s="83">
        <v>30</v>
      </c>
      <c r="K15" s="96">
        <v>0</v>
      </c>
      <c r="L15" s="83">
        <v>0</v>
      </c>
      <c r="M15" s="83">
        <v>0</v>
      </c>
      <c r="N15" s="83">
        <f>F15*2</f>
        <v>46.666666666666664</v>
      </c>
      <c r="O15" s="83">
        <f t="shared" si="12"/>
        <v>746.66666666666663</v>
      </c>
      <c r="P15" s="84">
        <f t="shared" si="9"/>
        <v>746.66666666666663</v>
      </c>
      <c r="Q15" s="84">
        <f t="shared" si="6"/>
        <v>69977.600000000006</v>
      </c>
      <c r="R15" s="37">
        <f t="shared" si="13"/>
        <v>16694.400000000001</v>
      </c>
      <c r="S15" s="84">
        <f t="shared" si="3"/>
        <v>87418.666666666686</v>
      </c>
      <c r="T15" s="84">
        <v>160</v>
      </c>
      <c r="U15" s="38">
        <f t="shared" si="7"/>
        <v>25.846153846153847</v>
      </c>
      <c r="V15" s="38">
        <f t="shared" si="10"/>
        <v>3.2307692307692308</v>
      </c>
      <c r="W15" s="38">
        <f t="shared" si="4"/>
        <v>7.4666666666666668</v>
      </c>
      <c r="X15" s="39">
        <v>0</v>
      </c>
      <c r="Y15" s="38">
        <f t="shared" si="0"/>
        <v>0</v>
      </c>
      <c r="Z15" s="38">
        <v>0</v>
      </c>
      <c r="AA15" s="38">
        <v>0</v>
      </c>
      <c r="AB15" s="38">
        <v>0</v>
      </c>
      <c r="AC15" s="85">
        <f t="shared" si="11"/>
        <v>36.543589743589742</v>
      </c>
      <c r="AD15" s="41">
        <f t="shared" si="5"/>
        <v>710.12307692307684</v>
      </c>
    </row>
    <row r="16" spans="1:30" s="97" customFormat="1" x14ac:dyDescent="0.25">
      <c r="A16" s="90">
        <v>9</v>
      </c>
      <c r="B16" s="79" t="s">
        <v>68</v>
      </c>
      <c r="C16" s="79" t="s">
        <v>69</v>
      </c>
      <c r="D16" s="79" t="s">
        <v>70</v>
      </c>
      <c r="E16" s="82">
        <v>500</v>
      </c>
      <c r="F16" s="72">
        <f t="shared" si="1"/>
        <v>16.666666666666668</v>
      </c>
      <c r="G16" s="73">
        <f t="shared" si="2"/>
        <v>2.0833333333333335</v>
      </c>
      <c r="H16" s="73">
        <f t="shared" si="8"/>
        <v>115.38461538461539</v>
      </c>
      <c r="I16" s="33"/>
      <c r="J16" s="83">
        <v>10</v>
      </c>
      <c r="K16" s="96">
        <f>2.71*10</f>
        <v>27.1</v>
      </c>
      <c r="L16" s="83">
        <v>0</v>
      </c>
      <c r="M16" s="83">
        <v>0</v>
      </c>
      <c r="N16" s="83">
        <v>0</v>
      </c>
      <c r="O16" s="83">
        <f t="shared" si="12"/>
        <v>193.76666666666668</v>
      </c>
      <c r="P16" s="84">
        <f t="shared" si="9"/>
        <v>193.76666666666668</v>
      </c>
      <c r="Q16" s="84">
        <f t="shared" si="6"/>
        <v>69977.600000000006</v>
      </c>
      <c r="R16" s="37">
        <f>(($R$4*$R$5)/30)*J30</f>
        <v>16694.400000000001</v>
      </c>
      <c r="S16" s="84">
        <f t="shared" si="3"/>
        <v>86865.766666666663</v>
      </c>
      <c r="T16" s="84">
        <v>160</v>
      </c>
      <c r="U16" s="38">
        <f t="shared" si="7"/>
        <v>18.461538461538463</v>
      </c>
      <c r="V16" s="38">
        <f t="shared" si="10"/>
        <v>2.3076923076923079</v>
      </c>
      <c r="W16" s="38">
        <f t="shared" si="4"/>
        <v>1.9376666666666669</v>
      </c>
      <c r="X16" s="39">
        <v>0</v>
      </c>
      <c r="Y16" s="38">
        <f t="shared" si="0"/>
        <v>0</v>
      </c>
      <c r="Z16" s="38">
        <v>0</v>
      </c>
      <c r="AA16" s="38">
        <v>0</v>
      </c>
      <c r="AB16" s="38">
        <v>0</v>
      </c>
      <c r="AC16" s="85">
        <f t="shared" si="11"/>
        <v>22.706897435897439</v>
      </c>
      <c r="AD16" s="41">
        <f t="shared" si="5"/>
        <v>171.05976923076923</v>
      </c>
    </row>
    <row r="17" spans="1:30" s="97" customFormat="1" x14ac:dyDescent="0.25">
      <c r="A17" s="90">
        <v>10</v>
      </c>
      <c r="B17" s="79" t="s">
        <v>71</v>
      </c>
      <c r="C17" s="79" t="s">
        <v>72</v>
      </c>
      <c r="D17" s="79" t="s">
        <v>73</v>
      </c>
      <c r="E17" s="82">
        <v>700</v>
      </c>
      <c r="F17" s="72">
        <f t="shared" si="1"/>
        <v>23.333333333333332</v>
      </c>
      <c r="G17" s="73">
        <f t="shared" si="2"/>
        <v>2.9166666666666665</v>
      </c>
      <c r="H17" s="73">
        <f t="shared" si="8"/>
        <v>161.53846153846155</v>
      </c>
      <c r="I17" s="33"/>
      <c r="J17" s="83">
        <v>30</v>
      </c>
      <c r="K17" s="96">
        <v>0</v>
      </c>
      <c r="L17" s="83">
        <v>0</v>
      </c>
      <c r="M17" s="83">
        <v>0</v>
      </c>
      <c r="N17" s="83">
        <f>F17*2</f>
        <v>46.666666666666664</v>
      </c>
      <c r="O17" s="83">
        <f t="shared" si="12"/>
        <v>746.66666666666663</v>
      </c>
      <c r="P17" s="84">
        <f t="shared" si="9"/>
        <v>746.66666666666663</v>
      </c>
      <c r="Q17" s="84">
        <f t="shared" si="6"/>
        <v>69977.600000000006</v>
      </c>
      <c r="R17" s="37">
        <f t="shared" si="13"/>
        <v>16694.400000000001</v>
      </c>
      <c r="S17" s="84">
        <f t="shared" si="3"/>
        <v>87418.666666666686</v>
      </c>
      <c r="T17" s="84">
        <v>160</v>
      </c>
      <c r="U17" s="38">
        <f t="shared" si="7"/>
        <v>25.846153846153847</v>
      </c>
      <c r="V17" s="38">
        <f t="shared" si="10"/>
        <v>3.2307692307692308</v>
      </c>
      <c r="W17" s="38">
        <f t="shared" si="4"/>
        <v>7.4666666666666668</v>
      </c>
      <c r="X17" s="39">
        <v>0</v>
      </c>
      <c r="Y17" s="38">
        <f t="shared" si="0"/>
        <v>0</v>
      </c>
      <c r="Z17" s="38">
        <v>0</v>
      </c>
      <c r="AA17" s="38">
        <v>0</v>
      </c>
      <c r="AB17" s="38">
        <v>0</v>
      </c>
      <c r="AC17" s="85">
        <f t="shared" si="11"/>
        <v>36.543589743589742</v>
      </c>
      <c r="AD17" s="41">
        <f t="shared" si="5"/>
        <v>710.12307692307684</v>
      </c>
    </row>
    <row r="18" spans="1:30" s="97" customFormat="1" x14ac:dyDescent="0.25">
      <c r="A18" s="90">
        <v>11</v>
      </c>
      <c r="B18" s="79" t="s">
        <v>74</v>
      </c>
      <c r="C18" s="79" t="s">
        <v>75</v>
      </c>
      <c r="D18" s="79" t="s">
        <v>70</v>
      </c>
      <c r="E18" s="82">
        <v>500</v>
      </c>
      <c r="F18" s="72">
        <f t="shared" si="1"/>
        <v>16.666666666666668</v>
      </c>
      <c r="G18" s="73">
        <f t="shared" si="2"/>
        <v>2.0833333333333335</v>
      </c>
      <c r="H18" s="73">
        <f t="shared" si="8"/>
        <v>115.38461538461539</v>
      </c>
      <c r="I18" s="33"/>
      <c r="J18" s="83">
        <v>29</v>
      </c>
      <c r="K18" s="96">
        <v>0</v>
      </c>
      <c r="L18" s="83">
        <f>F18*1.5*4</f>
        <v>100</v>
      </c>
      <c r="M18" s="83">
        <v>0</v>
      </c>
      <c r="N18" s="83">
        <f t="shared" si="14"/>
        <v>16.666666666666668</v>
      </c>
      <c r="O18" s="83">
        <f t="shared" si="12"/>
        <v>600</v>
      </c>
      <c r="P18" s="84">
        <f t="shared" si="9"/>
        <v>600</v>
      </c>
      <c r="Q18" s="84">
        <f t="shared" si="6"/>
        <v>69977.600000000006</v>
      </c>
      <c r="R18" s="37">
        <f>(($R$4*$R$5)/30)*29</f>
        <v>16137.92</v>
      </c>
      <c r="S18" s="84">
        <f t="shared" si="3"/>
        <v>86715.520000000004</v>
      </c>
      <c r="T18" s="84">
        <v>160</v>
      </c>
      <c r="U18" s="38">
        <f t="shared" si="7"/>
        <v>18.461538461538463</v>
      </c>
      <c r="V18" s="38">
        <f t="shared" si="10"/>
        <v>2.3076923076923079</v>
      </c>
      <c r="W18" s="38">
        <f t="shared" si="4"/>
        <v>6</v>
      </c>
      <c r="X18" s="39">
        <v>0</v>
      </c>
      <c r="Y18" s="38">
        <f t="shared" si="0"/>
        <v>0</v>
      </c>
      <c r="Z18" s="38">
        <v>0</v>
      </c>
      <c r="AA18" s="38">
        <v>0</v>
      </c>
      <c r="AB18" s="38">
        <v>0</v>
      </c>
      <c r="AC18" s="85">
        <f t="shared" si="11"/>
        <v>26.76923076923077</v>
      </c>
      <c r="AD18" s="41">
        <f t="shared" si="5"/>
        <v>573.23076923076928</v>
      </c>
    </row>
    <row r="19" spans="1:30" s="97" customFormat="1" x14ac:dyDescent="0.25">
      <c r="A19" s="90">
        <v>12</v>
      </c>
      <c r="B19" s="79" t="s">
        <v>76</v>
      </c>
      <c r="C19" s="79" t="s">
        <v>77</v>
      </c>
      <c r="D19" s="79" t="s">
        <v>78</v>
      </c>
      <c r="E19" s="82">
        <v>1000</v>
      </c>
      <c r="F19" s="72">
        <f t="shared" si="1"/>
        <v>33.333333333333336</v>
      </c>
      <c r="G19" s="73">
        <f t="shared" si="2"/>
        <v>4.166666666666667</v>
      </c>
      <c r="H19" s="73">
        <f t="shared" si="8"/>
        <v>230.76923076923077</v>
      </c>
      <c r="I19" s="33"/>
      <c r="J19" s="83">
        <v>18</v>
      </c>
      <c r="K19" s="96">
        <v>0</v>
      </c>
      <c r="L19" s="83">
        <v>0</v>
      </c>
      <c r="M19" s="83">
        <v>0</v>
      </c>
      <c r="N19" s="83">
        <f>F19*2</f>
        <v>66.666666666666671</v>
      </c>
      <c r="O19" s="83">
        <f t="shared" si="12"/>
        <v>666.66666666666663</v>
      </c>
      <c r="P19" s="84">
        <f t="shared" si="9"/>
        <v>666.66666666666663</v>
      </c>
      <c r="Q19" s="84">
        <f t="shared" si="6"/>
        <v>69977.600000000006</v>
      </c>
      <c r="R19" s="37">
        <f>(($R$4*$R$5)/30)*J30</f>
        <v>16694.400000000001</v>
      </c>
      <c r="S19" s="84">
        <f t="shared" si="3"/>
        <v>87338.666666666686</v>
      </c>
      <c r="T19" s="84">
        <v>160</v>
      </c>
      <c r="U19" s="38">
        <f t="shared" si="7"/>
        <v>36.923076923076927</v>
      </c>
      <c r="V19" s="38">
        <f>E19*12/52*0.5%*4</f>
        <v>4.6153846153846159</v>
      </c>
      <c r="W19" s="38">
        <f t="shared" si="4"/>
        <v>6.6666666666666661</v>
      </c>
      <c r="X19" s="39">
        <v>0</v>
      </c>
      <c r="Y19" s="38">
        <f t="shared" si="0"/>
        <v>0</v>
      </c>
      <c r="Z19" s="38">
        <v>0</v>
      </c>
      <c r="AA19" s="38">
        <v>0</v>
      </c>
      <c r="AB19" s="38">
        <v>0</v>
      </c>
      <c r="AC19" s="85">
        <f t="shared" si="11"/>
        <v>48.205128205128204</v>
      </c>
      <c r="AD19" s="41">
        <f t="shared" si="5"/>
        <v>618.46153846153845</v>
      </c>
    </row>
    <row r="20" spans="1:30" s="97" customFormat="1" x14ac:dyDescent="0.25">
      <c r="A20" s="90">
        <v>13</v>
      </c>
      <c r="B20" s="79" t="s">
        <v>79</v>
      </c>
      <c r="C20" s="79" t="s">
        <v>80</v>
      </c>
      <c r="D20" s="79" t="s">
        <v>78</v>
      </c>
      <c r="E20" s="82">
        <v>1000</v>
      </c>
      <c r="F20" s="72">
        <f t="shared" si="1"/>
        <v>33.333333333333336</v>
      </c>
      <c r="G20" s="73">
        <f t="shared" si="2"/>
        <v>4.166666666666667</v>
      </c>
      <c r="H20" s="73">
        <f t="shared" si="8"/>
        <v>230.76923076923077</v>
      </c>
      <c r="I20" s="33"/>
      <c r="J20" s="83">
        <v>30</v>
      </c>
      <c r="K20" s="96">
        <f>5.42*20</f>
        <v>108.4</v>
      </c>
      <c r="L20" s="83">
        <f>F20*1.5*4</f>
        <v>200</v>
      </c>
      <c r="M20" s="83">
        <v>0</v>
      </c>
      <c r="N20" s="83">
        <f>F20*2</f>
        <v>66.666666666666671</v>
      </c>
      <c r="O20" s="83">
        <f t="shared" si="12"/>
        <v>1375.0666666666668</v>
      </c>
      <c r="P20" s="84">
        <f t="shared" si="9"/>
        <v>1375.0666666666668</v>
      </c>
      <c r="Q20" s="84">
        <f t="shared" si="6"/>
        <v>69977.600000000006</v>
      </c>
      <c r="R20" s="37">
        <f t="shared" si="13"/>
        <v>16694.400000000001</v>
      </c>
      <c r="S20" s="84">
        <f t="shared" si="3"/>
        <v>88047.06666666668</v>
      </c>
      <c r="T20" s="84">
        <v>160</v>
      </c>
      <c r="U20" s="38">
        <f t="shared" si="7"/>
        <v>36.923076923076927</v>
      </c>
      <c r="V20" s="38">
        <f t="shared" si="10"/>
        <v>4.6153846153846159</v>
      </c>
      <c r="W20" s="38">
        <f t="shared" si="4"/>
        <v>13.750666666666669</v>
      </c>
      <c r="X20" s="39">
        <v>0</v>
      </c>
      <c r="Y20" s="38">
        <f t="shared" si="0"/>
        <v>0</v>
      </c>
      <c r="Z20" s="38">
        <v>0</v>
      </c>
      <c r="AA20" s="38">
        <v>0</v>
      </c>
      <c r="AB20" s="38">
        <v>0</v>
      </c>
      <c r="AC20" s="85">
        <f t="shared" si="11"/>
        <v>55.289128205128208</v>
      </c>
      <c r="AD20" s="41">
        <f t="shared" si="5"/>
        <v>1319.7775384615386</v>
      </c>
    </row>
    <row r="21" spans="1:30" s="97" customFormat="1" x14ac:dyDescent="0.25">
      <c r="A21" s="90">
        <v>14</v>
      </c>
      <c r="B21" s="79" t="s">
        <v>83</v>
      </c>
      <c r="C21" s="79" t="s">
        <v>84</v>
      </c>
      <c r="D21" s="79" t="s">
        <v>70</v>
      </c>
      <c r="E21" s="82">
        <v>500</v>
      </c>
      <c r="F21" s="72">
        <f t="shared" si="1"/>
        <v>16.666666666666668</v>
      </c>
      <c r="G21" s="73">
        <f t="shared" si="2"/>
        <v>2.0833333333333335</v>
      </c>
      <c r="H21" s="73">
        <f t="shared" si="8"/>
        <v>115.38461538461539</v>
      </c>
      <c r="I21" s="33"/>
      <c r="J21" s="83">
        <v>30</v>
      </c>
      <c r="K21" s="96">
        <f>2.71*20</f>
        <v>54.2</v>
      </c>
      <c r="L21" s="83">
        <f>F21*1.5*4</f>
        <v>100</v>
      </c>
      <c r="M21" s="83">
        <v>0</v>
      </c>
      <c r="N21" s="83">
        <f t="shared" si="14"/>
        <v>16.666666666666668</v>
      </c>
      <c r="O21" s="83">
        <f t="shared" si="12"/>
        <v>670.86666666666667</v>
      </c>
      <c r="P21" s="84">
        <f t="shared" si="9"/>
        <v>670.86666666666667</v>
      </c>
      <c r="Q21" s="84">
        <f t="shared" si="6"/>
        <v>69977.600000000006</v>
      </c>
      <c r="R21" s="37">
        <f t="shared" si="13"/>
        <v>16694.400000000001</v>
      </c>
      <c r="S21" s="84">
        <f t="shared" si="3"/>
        <v>87342.866666666669</v>
      </c>
      <c r="T21" s="84">
        <v>160</v>
      </c>
      <c r="U21" s="38">
        <f t="shared" si="7"/>
        <v>18.461538461538463</v>
      </c>
      <c r="V21" s="38">
        <f t="shared" si="10"/>
        <v>2.3076923076923079</v>
      </c>
      <c r="W21" s="38">
        <f t="shared" si="4"/>
        <v>6.7086666666666668</v>
      </c>
      <c r="X21" s="39">
        <v>0</v>
      </c>
      <c r="Y21" s="38">
        <f t="shared" si="0"/>
        <v>0</v>
      </c>
      <c r="Z21" s="38">
        <v>0</v>
      </c>
      <c r="AA21" s="38">
        <v>0</v>
      </c>
      <c r="AB21" s="38">
        <v>0</v>
      </c>
      <c r="AC21" s="85">
        <f t="shared" si="11"/>
        <v>27.477897435897436</v>
      </c>
      <c r="AD21" s="41">
        <f t="shared" si="5"/>
        <v>643.38876923076919</v>
      </c>
    </row>
    <row r="22" spans="1:30" s="97" customFormat="1" x14ac:dyDescent="0.25">
      <c r="A22" s="90">
        <v>15</v>
      </c>
      <c r="B22" s="79" t="s">
        <v>85</v>
      </c>
      <c r="C22" s="79" t="s">
        <v>86</v>
      </c>
      <c r="D22" s="79" t="s">
        <v>53</v>
      </c>
      <c r="E22" s="82">
        <v>500</v>
      </c>
      <c r="F22" s="72">
        <f t="shared" si="1"/>
        <v>16.666666666666668</v>
      </c>
      <c r="G22" s="73">
        <f t="shared" si="2"/>
        <v>2.0833333333333335</v>
      </c>
      <c r="H22" s="73">
        <f t="shared" si="8"/>
        <v>115.38461538461539</v>
      </c>
      <c r="I22" s="33"/>
      <c r="J22" s="83">
        <v>0</v>
      </c>
      <c r="K22" s="96">
        <v>0</v>
      </c>
      <c r="L22" s="83">
        <v>0</v>
      </c>
      <c r="M22" s="83">
        <v>0</v>
      </c>
      <c r="N22" s="83">
        <v>0</v>
      </c>
      <c r="O22" s="83">
        <f t="shared" si="12"/>
        <v>0</v>
      </c>
      <c r="P22" s="84">
        <f t="shared" si="9"/>
        <v>0</v>
      </c>
      <c r="Q22" s="84">
        <v>0</v>
      </c>
      <c r="R22" s="37">
        <f t="shared" si="13"/>
        <v>0</v>
      </c>
      <c r="S22" s="84">
        <f t="shared" si="3"/>
        <v>0</v>
      </c>
      <c r="T22" s="84">
        <v>0</v>
      </c>
      <c r="U22" s="38">
        <v>0</v>
      </c>
      <c r="V22" s="38">
        <v>0</v>
      </c>
      <c r="W22" s="38">
        <f>P22*1%</f>
        <v>0</v>
      </c>
      <c r="X22" s="39">
        <v>0</v>
      </c>
      <c r="Y22" s="38">
        <f t="shared" si="0"/>
        <v>0</v>
      </c>
      <c r="Z22" s="38">
        <v>0</v>
      </c>
      <c r="AA22" s="38">
        <v>0</v>
      </c>
      <c r="AB22" s="38">
        <v>0</v>
      </c>
      <c r="AC22" s="85">
        <f t="shared" si="11"/>
        <v>0</v>
      </c>
      <c r="AD22" s="41">
        <f t="shared" si="5"/>
        <v>0</v>
      </c>
    </row>
    <row r="23" spans="1:30" s="97" customFormat="1" x14ac:dyDescent="0.25">
      <c r="A23" s="90">
        <v>16</v>
      </c>
      <c r="B23" s="79" t="s">
        <v>87</v>
      </c>
      <c r="C23" s="79" t="s">
        <v>88</v>
      </c>
      <c r="D23" s="79" t="s">
        <v>89</v>
      </c>
      <c r="E23" s="82">
        <v>500</v>
      </c>
      <c r="F23" s="72">
        <f t="shared" si="1"/>
        <v>16.666666666666668</v>
      </c>
      <c r="G23" s="73">
        <f t="shared" si="2"/>
        <v>2.0833333333333335</v>
      </c>
      <c r="H23" s="73">
        <f t="shared" si="8"/>
        <v>115.38461538461539</v>
      </c>
      <c r="I23" s="33"/>
      <c r="J23" s="83">
        <v>30</v>
      </c>
      <c r="K23" s="96">
        <v>0</v>
      </c>
      <c r="L23" s="83">
        <f>F23*1.5*4</f>
        <v>100</v>
      </c>
      <c r="M23" s="83">
        <v>0</v>
      </c>
      <c r="N23" s="83">
        <f t="shared" si="14"/>
        <v>16.666666666666668</v>
      </c>
      <c r="O23" s="83">
        <f t="shared" si="12"/>
        <v>616.66666666666663</v>
      </c>
      <c r="P23" s="84">
        <f t="shared" si="9"/>
        <v>616.66666666666663</v>
      </c>
      <c r="Q23" s="84">
        <f t="shared" si="6"/>
        <v>69977.600000000006</v>
      </c>
      <c r="R23" s="37">
        <f t="shared" si="13"/>
        <v>16694.400000000001</v>
      </c>
      <c r="S23" s="84">
        <f t="shared" si="3"/>
        <v>87288.666666666686</v>
      </c>
      <c r="T23" s="84">
        <v>160</v>
      </c>
      <c r="U23" s="38">
        <f t="shared" si="7"/>
        <v>18.461538461538463</v>
      </c>
      <c r="V23" s="38">
        <f t="shared" si="10"/>
        <v>2.3076923076923079</v>
      </c>
      <c r="W23" s="38">
        <f>P23*1%</f>
        <v>6.1666666666666661</v>
      </c>
      <c r="X23" s="39">
        <v>0</v>
      </c>
      <c r="Y23" s="38">
        <f t="shared" si="0"/>
        <v>0</v>
      </c>
      <c r="Z23" s="38">
        <v>0</v>
      </c>
      <c r="AA23" s="38">
        <v>0</v>
      </c>
      <c r="AB23" s="38">
        <v>0</v>
      </c>
      <c r="AC23" s="85">
        <f t="shared" si="11"/>
        <v>26.935897435897438</v>
      </c>
      <c r="AD23" s="41">
        <f t="shared" si="5"/>
        <v>589.73076923076917</v>
      </c>
    </row>
    <row r="24" spans="1:30" s="97" customFormat="1" x14ac:dyDescent="0.25">
      <c r="A24" s="90">
        <v>17</v>
      </c>
      <c r="B24" s="79" t="s">
        <v>90</v>
      </c>
      <c r="C24" s="79" t="s">
        <v>91</v>
      </c>
      <c r="D24" s="79" t="s">
        <v>73</v>
      </c>
      <c r="E24" s="82">
        <v>700</v>
      </c>
      <c r="F24" s="72">
        <f t="shared" si="1"/>
        <v>23.333333333333332</v>
      </c>
      <c r="G24" s="73">
        <f t="shared" si="2"/>
        <v>2.9166666666666665</v>
      </c>
      <c r="H24" s="73">
        <f t="shared" si="8"/>
        <v>161.53846153846155</v>
      </c>
      <c r="I24" s="33"/>
      <c r="J24" s="83">
        <v>30</v>
      </c>
      <c r="K24" s="96">
        <v>0</v>
      </c>
      <c r="L24" s="83">
        <v>0</v>
      </c>
      <c r="M24" s="83">
        <v>0</v>
      </c>
      <c r="N24" s="83">
        <f>F24*2</f>
        <v>46.666666666666664</v>
      </c>
      <c r="O24" s="83">
        <f t="shared" si="12"/>
        <v>746.66666666666663</v>
      </c>
      <c r="P24" s="84">
        <f t="shared" si="9"/>
        <v>746.66666666666663</v>
      </c>
      <c r="Q24" s="84">
        <f t="shared" si="6"/>
        <v>69977.600000000006</v>
      </c>
      <c r="R24" s="37">
        <f t="shared" si="13"/>
        <v>16694.400000000001</v>
      </c>
      <c r="S24" s="84">
        <f t="shared" si="3"/>
        <v>87418.666666666686</v>
      </c>
      <c r="T24" s="84">
        <v>160</v>
      </c>
      <c r="U24" s="38">
        <f t="shared" si="7"/>
        <v>25.846153846153847</v>
      </c>
      <c r="V24" s="38">
        <f t="shared" si="10"/>
        <v>3.2307692307692308</v>
      </c>
      <c r="W24" s="38">
        <f t="shared" si="4"/>
        <v>7.4666666666666668</v>
      </c>
      <c r="X24" s="39">
        <v>0</v>
      </c>
      <c r="Y24" s="38">
        <f t="shared" si="0"/>
        <v>0</v>
      </c>
      <c r="Z24" s="38">
        <v>0</v>
      </c>
      <c r="AA24" s="38">
        <v>0</v>
      </c>
      <c r="AB24" s="38">
        <v>0</v>
      </c>
      <c r="AC24" s="85">
        <f t="shared" si="11"/>
        <v>36.543589743589742</v>
      </c>
      <c r="AD24" s="41">
        <f t="shared" si="5"/>
        <v>710.12307692307684</v>
      </c>
    </row>
    <row r="25" spans="1:30" s="97" customFormat="1" x14ac:dyDescent="0.25">
      <c r="A25" s="90">
        <v>18</v>
      </c>
      <c r="B25" s="79" t="s">
        <v>92</v>
      </c>
      <c r="C25" s="79" t="s">
        <v>93</v>
      </c>
      <c r="D25" s="79" t="s">
        <v>89</v>
      </c>
      <c r="E25" s="82">
        <v>500</v>
      </c>
      <c r="F25" s="72">
        <f t="shared" si="1"/>
        <v>16.666666666666668</v>
      </c>
      <c r="G25" s="73">
        <f t="shared" si="2"/>
        <v>2.0833333333333335</v>
      </c>
      <c r="H25" s="73">
        <f t="shared" si="8"/>
        <v>115.38461538461539</v>
      </c>
      <c r="I25" s="33"/>
      <c r="J25" s="83">
        <v>30</v>
      </c>
      <c r="K25" s="96">
        <v>0</v>
      </c>
      <c r="L25" s="83">
        <v>0</v>
      </c>
      <c r="M25" s="83">
        <v>0</v>
      </c>
      <c r="N25" s="83">
        <f>F25*2</f>
        <v>33.333333333333336</v>
      </c>
      <c r="O25" s="83">
        <f t="shared" si="12"/>
        <v>533.33333333333337</v>
      </c>
      <c r="P25" s="84">
        <f t="shared" si="9"/>
        <v>533.33333333333337</v>
      </c>
      <c r="Q25" s="84">
        <f t="shared" si="6"/>
        <v>69977.600000000006</v>
      </c>
      <c r="R25" s="37">
        <f t="shared" si="13"/>
        <v>16694.400000000001</v>
      </c>
      <c r="S25" s="84">
        <f t="shared" si="3"/>
        <v>87205.333333333343</v>
      </c>
      <c r="T25" s="84">
        <v>160</v>
      </c>
      <c r="U25" s="38">
        <f t="shared" si="7"/>
        <v>18.461538461538463</v>
      </c>
      <c r="V25" s="38">
        <f t="shared" si="10"/>
        <v>2.3076923076923079</v>
      </c>
      <c r="W25" s="38">
        <f t="shared" si="4"/>
        <v>5.3333333333333339</v>
      </c>
      <c r="X25" s="39">
        <v>0</v>
      </c>
      <c r="Y25" s="38">
        <f t="shared" si="0"/>
        <v>0</v>
      </c>
      <c r="Z25" s="38">
        <v>0</v>
      </c>
      <c r="AA25" s="38">
        <v>0</v>
      </c>
      <c r="AB25" s="38">
        <v>0</v>
      </c>
      <c r="AC25" s="85">
        <f t="shared" si="11"/>
        <v>26.102564102564102</v>
      </c>
      <c r="AD25" s="41">
        <f t="shared" si="5"/>
        <v>507.23076923076928</v>
      </c>
    </row>
    <row r="26" spans="1:30" s="97" customFormat="1" x14ac:dyDescent="0.25">
      <c r="A26" s="90">
        <v>19</v>
      </c>
      <c r="B26" s="79" t="s">
        <v>96</v>
      </c>
      <c r="C26" s="79" t="s">
        <v>97</v>
      </c>
      <c r="D26" s="79" t="s">
        <v>98</v>
      </c>
      <c r="E26" s="82">
        <v>500</v>
      </c>
      <c r="F26" s="72">
        <f t="shared" si="1"/>
        <v>16.666666666666668</v>
      </c>
      <c r="G26" s="73">
        <f t="shared" si="2"/>
        <v>2.0833333333333335</v>
      </c>
      <c r="H26" s="73">
        <f t="shared" si="8"/>
        <v>115.38461538461539</v>
      </c>
      <c r="I26" s="33"/>
      <c r="J26" s="83">
        <v>30</v>
      </c>
      <c r="K26" s="96">
        <v>0</v>
      </c>
      <c r="L26" s="83">
        <v>0</v>
      </c>
      <c r="M26" s="83">
        <v>0</v>
      </c>
      <c r="N26" s="83">
        <f t="shared" si="14"/>
        <v>16.666666666666668</v>
      </c>
      <c r="O26" s="83">
        <f t="shared" si="12"/>
        <v>516.66666666666674</v>
      </c>
      <c r="P26" s="84">
        <f t="shared" si="9"/>
        <v>516.66666666666674</v>
      </c>
      <c r="Q26" s="84">
        <f t="shared" si="6"/>
        <v>69977.600000000006</v>
      </c>
      <c r="R26" s="37">
        <f t="shared" si="13"/>
        <v>16694.400000000001</v>
      </c>
      <c r="S26" s="84">
        <f t="shared" si="3"/>
        <v>87188.666666666686</v>
      </c>
      <c r="T26" s="84">
        <v>160</v>
      </c>
      <c r="U26" s="38">
        <f t="shared" si="7"/>
        <v>18.461538461538463</v>
      </c>
      <c r="V26" s="38">
        <f t="shared" si="10"/>
        <v>2.3076923076923079</v>
      </c>
      <c r="W26" s="38">
        <f t="shared" si="4"/>
        <v>5.1666666666666679</v>
      </c>
      <c r="X26" s="39">
        <v>0</v>
      </c>
      <c r="Y26" s="38">
        <f t="shared" si="0"/>
        <v>0</v>
      </c>
      <c r="Z26" s="38">
        <v>0</v>
      </c>
      <c r="AA26" s="38">
        <v>0</v>
      </c>
      <c r="AB26" s="38">
        <v>0</v>
      </c>
      <c r="AC26" s="85">
        <f t="shared" si="11"/>
        <v>25.935897435897438</v>
      </c>
      <c r="AD26" s="41">
        <f t="shared" si="5"/>
        <v>490.73076923076928</v>
      </c>
    </row>
    <row r="27" spans="1:30" s="97" customFormat="1" x14ac:dyDescent="0.25">
      <c r="A27" s="90">
        <v>20</v>
      </c>
      <c r="B27" s="79" t="s">
        <v>99</v>
      </c>
      <c r="C27" s="79" t="s">
        <v>100</v>
      </c>
      <c r="D27" s="79" t="s">
        <v>101</v>
      </c>
      <c r="E27" s="82">
        <v>500</v>
      </c>
      <c r="F27" s="72">
        <f t="shared" si="1"/>
        <v>16.666666666666668</v>
      </c>
      <c r="G27" s="73">
        <f t="shared" si="2"/>
        <v>2.0833333333333335</v>
      </c>
      <c r="H27" s="73">
        <f t="shared" si="8"/>
        <v>115.38461538461539</v>
      </c>
      <c r="I27" s="33"/>
      <c r="J27" s="83">
        <v>30</v>
      </c>
      <c r="K27" s="96">
        <v>0</v>
      </c>
      <c r="L27" s="83">
        <v>0</v>
      </c>
      <c r="M27" s="83">
        <v>0</v>
      </c>
      <c r="N27" s="83">
        <f t="shared" si="14"/>
        <v>16.666666666666668</v>
      </c>
      <c r="O27" s="83">
        <f t="shared" si="12"/>
        <v>516.66666666666674</v>
      </c>
      <c r="P27" s="84">
        <f t="shared" si="9"/>
        <v>516.66666666666674</v>
      </c>
      <c r="Q27" s="84">
        <f t="shared" si="6"/>
        <v>69977.600000000006</v>
      </c>
      <c r="R27" s="37">
        <f t="shared" si="13"/>
        <v>16694.400000000001</v>
      </c>
      <c r="S27" s="84">
        <f t="shared" si="3"/>
        <v>87188.666666666686</v>
      </c>
      <c r="T27" s="84">
        <v>160</v>
      </c>
      <c r="U27" s="38">
        <f t="shared" si="7"/>
        <v>18.461538461538463</v>
      </c>
      <c r="V27" s="38">
        <f t="shared" si="10"/>
        <v>2.3076923076923079</v>
      </c>
      <c r="W27" s="38">
        <f t="shared" si="4"/>
        <v>5.1666666666666679</v>
      </c>
      <c r="X27" s="39">
        <v>0</v>
      </c>
      <c r="Y27" s="38">
        <f t="shared" si="0"/>
        <v>0</v>
      </c>
      <c r="Z27" s="38">
        <v>0</v>
      </c>
      <c r="AA27" s="38">
        <v>0</v>
      </c>
      <c r="AB27" s="38">
        <v>0</v>
      </c>
      <c r="AC27" s="85">
        <f t="shared" si="11"/>
        <v>25.935897435897438</v>
      </c>
      <c r="AD27" s="41">
        <f t="shared" si="5"/>
        <v>490.73076923076928</v>
      </c>
    </row>
    <row r="28" spans="1:30" s="97" customFormat="1" x14ac:dyDescent="0.25">
      <c r="A28" s="90">
        <v>21</v>
      </c>
      <c r="B28" s="79" t="s">
        <v>102</v>
      </c>
      <c r="C28" s="79" t="s">
        <v>103</v>
      </c>
      <c r="D28" s="79" t="s">
        <v>78</v>
      </c>
      <c r="E28" s="82">
        <v>1000</v>
      </c>
      <c r="F28" s="72">
        <f>E28/30</f>
        <v>33.333333333333336</v>
      </c>
      <c r="G28" s="73">
        <f t="shared" si="2"/>
        <v>4.166666666666667</v>
      </c>
      <c r="H28" s="73">
        <f t="shared" si="8"/>
        <v>230.76923076923077</v>
      </c>
      <c r="I28" s="33"/>
      <c r="J28" s="83">
        <v>18</v>
      </c>
      <c r="K28" s="96">
        <v>0</v>
      </c>
      <c r="L28" s="83">
        <f>F28*1.5*3</f>
        <v>150</v>
      </c>
      <c r="M28" s="83">
        <v>0</v>
      </c>
      <c r="N28" s="83">
        <f t="shared" ref="N28:N35" si="15">F28*2</f>
        <v>66.666666666666671</v>
      </c>
      <c r="O28" s="83">
        <f t="shared" si="12"/>
        <v>816.66666666666663</v>
      </c>
      <c r="P28" s="84">
        <f t="shared" si="9"/>
        <v>816.66666666666663</v>
      </c>
      <c r="Q28" s="84">
        <f t="shared" si="6"/>
        <v>69977.600000000006</v>
      </c>
      <c r="R28" s="37">
        <f>(($R$4*$R$5)/30)*30</f>
        <v>16694.400000000001</v>
      </c>
      <c r="S28" s="84">
        <f t="shared" si="3"/>
        <v>87488.666666666686</v>
      </c>
      <c r="T28" s="84">
        <v>160</v>
      </c>
      <c r="U28" s="38">
        <f t="shared" si="7"/>
        <v>36.923076923076927</v>
      </c>
      <c r="V28" s="38">
        <f t="shared" si="10"/>
        <v>4.6153846153846159</v>
      </c>
      <c r="W28" s="38">
        <f t="shared" si="4"/>
        <v>8.1666666666666661</v>
      </c>
      <c r="X28" s="39">
        <v>0</v>
      </c>
      <c r="Y28" s="38">
        <f t="shared" si="0"/>
        <v>0</v>
      </c>
      <c r="Z28" s="38">
        <v>0</v>
      </c>
      <c r="AA28" s="38">
        <v>0</v>
      </c>
      <c r="AB28" s="38">
        <v>0</v>
      </c>
      <c r="AC28" s="85">
        <f t="shared" si="11"/>
        <v>49.705128205128204</v>
      </c>
      <c r="AD28" s="41">
        <f t="shared" si="5"/>
        <v>766.96153846153845</v>
      </c>
    </row>
    <row r="29" spans="1:30" s="97" customFormat="1" x14ac:dyDescent="0.25">
      <c r="A29" s="90">
        <v>22</v>
      </c>
      <c r="B29" s="79" t="s">
        <v>104</v>
      </c>
      <c r="C29" s="79" t="s">
        <v>105</v>
      </c>
      <c r="D29" s="79" t="s">
        <v>106</v>
      </c>
      <c r="E29" s="82">
        <v>500</v>
      </c>
      <c r="F29" s="72">
        <f t="shared" si="1"/>
        <v>16.666666666666668</v>
      </c>
      <c r="G29" s="73">
        <f t="shared" si="2"/>
        <v>2.0833333333333335</v>
      </c>
      <c r="H29" s="73">
        <f t="shared" si="8"/>
        <v>115.38461538461539</v>
      </c>
      <c r="I29" s="33"/>
      <c r="J29" s="83">
        <v>30</v>
      </c>
      <c r="K29" s="96">
        <v>0</v>
      </c>
      <c r="L29" s="83">
        <v>0</v>
      </c>
      <c r="M29" s="83">
        <v>0</v>
      </c>
      <c r="N29" s="83">
        <f t="shared" si="15"/>
        <v>33.333333333333336</v>
      </c>
      <c r="O29" s="83">
        <f t="shared" si="12"/>
        <v>533.33333333333337</v>
      </c>
      <c r="P29" s="84">
        <f t="shared" si="9"/>
        <v>533.33333333333337</v>
      </c>
      <c r="Q29" s="84">
        <f t="shared" si="6"/>
        <v>69977.600000000006</v>
      </c>
      <c r="R29" s="37">
        <f t="shared" si="13"/>
        <v>16694.400000000001</v>
      </c>
      <c r="S29" s="84">
        <f t="shared" si="3"/>
        <v>87205.333333333343</v>
      </c>
      <c r="T29" s="84">
        <v>160</v>
      </c>
      <c r="U29" s="38">
        <f t="shared" si="7"/>
        <v>18.461538461538463</v>
      </c>
      <c r="V29" s="38">
        <f t="shared" si="10"/>
        <v>2.3076923076923079</v>
      </c>
      <c r="W29" s="38">
        <f t="shared" si="4"/>
        <v>5.3333333333333339</v>
      </c>
      <c r="X29" s="39">
        <v>0</v>
      </c>
      <c r="Y29" s="38">
        <f t="shared" si="0"/>
        <v>0</v>
      </c>
      <c r="Z29" s="38">
        <v>0</v>
      </c>
      <c r="AA29" s="38">
        <v>0</v>
      </c>
      <c r="AB29" s="38">
        <v>0</v>
      </c>
      <c r="AC29" s="85">
        <f t="shared" si="11"/>
        <v>26.102564102564102</v>
      </c>
      <c r="AD29" s="41">
        <f t="shared" si="5"/>
        <v>507.23076923076928</v>
      </c>
    </row>
    <row r="30" spans="1:30" s="97" customFormat="1" x14ac:dyDescent="0.25">
      <c r="A30" s="90">
        <v>23</v>
      </c>
      <c r="B30" s="79" t="s">
        <v>107</v>
      </c>
      <c r="C30" s="79" t="s">
        <v>108</v>
      </c>
      <c r="D30" s="79" t="s">
        <v>78</v>
      </c>
      <c r="E30" s="82">
        <v>1000</v>
      </c>
      <c r="F30" s="72">
        <f t="shared" si="1"/>
        <v>33.333333333333336</v>
      </c>
      <c r="G30" s="73">
        <f t="shared" si="2"/>
        <v>4.166666666666667</v>
      </c>
      <c r="H30" s="73">
        <f t="shared" si="8"/>
        <v>230.76923076923077</v>
      </c>
      <c r="I30" s="33"/>
      <c r="J30" s="83">
        <v>30</v>
      </c>
      <c r="K30" s="96">
        <v>0</v>
      </c>
      <c r="L30" s="83">
        <f>F30*1.5*0</f>
        <v>0</v>
      </c>
      <c r="M30" s="83">
        <v>0</v>
      </c>
      <c r="N30" s="83">
        <f t="shared" si="15"/>
        <v>66.666666666666671</v>
      </c>
      <c r="O30" s="83">
        <f t="shared" si="12"/>
        <v>1066.6666666666667</v>
      </c>
      <c r="P30" s="84">
        <f t="shared" si="9"/>
        <v>1066.6666666666667</v>
      </c>
      <c r="Q30" s="84">
        <f t="shared" si="6"/>
        <v>69977.600000000006</v>
      </c>
      <c r="R30" s="37">
        <f t="shared" si="13"/>
        <v>16694.400000000001</v>
      </c>
      <c r="S30" s="84">
        <f t="shared" si="3"/>
        <v>87738.666666666686</v>
      </c>
      <c r="T30" s="84">
        <v>160</v>
      </c>
      <c r="U30" s="38">
        <f t="shared" si="7"/>
        <v>36.923076923076927</v>
      </c>
      <c r="V30" s="38">
        <f t="shared" si="10"/>
        <v>4.6153846153846159</v>
      </c>
      <c r="W30" s="38">
        <f t="shared" si="4"/>
        <v>10.666666666666668</v>
      </c>
      <c r="X30" s="39">
        <v>0</v>
      </c>
      <c r="Y30" s="38">
        <f t="shared" si="0"/>
        <v>0</v>
      </c>
      <c r="Z30" s="38">
        <v>0</v>
      </c>
      <c r="AA30" s="38">
        <v>0</v>
      </c>
      <c r="AB30" s="38">
        <v>0</v>
      </c>
      <c r="AC30" s="85">
        <f t="shared" si="11"/>
        <v>52.205128205128204</v>
      </c>
      <c r="AD30" s="41">
        <f t="shared" si="5"/>
        <v>1014.4615384615386</v>
      </c>
    </row>
    <row r="31" spans="1:30" s="97" customFormat="1" x14ac:dyDescent="0.25">
      <c r="A31" s="90">
        <v>24</v>
      </c>
      <c r="B31" s="79" t="s">
        <v>109</v>
      </c>
      <c r="C31" s="79" t="s">
        <v>110</v>
      </c>
      <c r="D31" s="79" t="s">
        <v>53</v>
      </c>
      <c r="E31" s="82">
        <v>500</v>
      </c>
      <c r="F31" s="72">
        <f t="shared" si="1"/>
        <v>16.666666666666668</v>
      </c>
      <c r="G31" s="73">
        <f t="shared" si="2"/>
        <v>2.0833333333333335</v>
      </c>
      <c r="H31" s="73">
        <f t="shared" si="8"/>
        <v>115.38461538461539</v>
      </c>
      <c r="I31" s="33"/>
      <c r="J31" s="83">
        <v>30</v>
      </c>
      <c r="K31" s="96">
        <f>2.71*20</f>
        <v>54.2</v>
      </c>
      <c r="L31" s="83">
        <f>F31*1.5*4</f>
        <v>100</v>
      </c>
      <c r="M31" s="83">
        <v>0</v>
      </c>
      <c r="N31" s="83">
        <f t="shared" si="15"/>
        <v>33.333333333333336</v>
      </c>
      <c r="O31" s="83">
        <f t="shared" si="12"/>
        <v>687.53333333333342</v>
      </c>
      <c r="P31" s="84">
        <f t="shared" si="9"/>
        <v>687.53333333333342</v>
      </c>
      <c r="Q31" s="84">
        <f t="shared" si="6"/>
        <v>69977.600000000006</v>
      </c>
      <c r="R31" s="37">
        <f t="shared" si="13"/>
        <v>16694.400000000001</v>
      </c>
      <c r="S31" s="84">
        <f t="shared" si="3"/>
        <v>87359.533333333355</v>
      </c>
      <c r="T31" s="84">
        <v>160</v>
      </c>
      <c r="U31" s="38">
        <f t="shared" si="7"/>
        <v>18.461538461538463</v>
      </c>
      <c r="V31" s="38">
        <f t="shared" si="10"/>
        <v>2.3076923076923079</v>
      </c>
      <c r="W31" s="38">
        <f t="shared" si="4"/>
        <v>6.8753333333333346</v>
      </c>
      <c r="X31" s="39">
        <v>0</v>
      </c>
      <c r="Y31" s="38">
        <f t="shared" si="0"/>
        <v>0</v>
      </c>
      <c r="Z31" s="38">
        <v>0</v>
      </c>
      <c r="AA31" s="38">
        <v>0</v>
      </c>
      <c r="AB31" s="38">
        <v>0</v>
      </c>
      <c r="AC31" s="85">
        <f t="shared" si="11"/>
        <v>27.644564102564104</v>
      </c>
      <c r="AD31" s="41">
        <f t="shared" si="5"/>
        <v>659.8887692307693</v>
      </c>
    </row>
    <row r="32" spans="1:30" s="97" customFormat="1" x14ac:dyDescent="0.25">
      <c r="A32" s="90">
        <v>26</v>
      </c>
      <c r="B32" s="80" t="s">
        <v>127</v>
      </c>
      <c r="C32" s="79" t="s">
        <v>128</v>
      </c>
      <c r="D32" s="79" t="s">
        <v>70</v>
      </c>
      <c r="E32" s="82">
        <v>500</v>
      </c>
      <c r="F32" s="72">
        <f t="shared" si="1"/>
        <v>16.666666666666668</v>
      </c>
      <c r="G32" s="73">
        <f t="shared" si="2"/>
        <v>2.0833333333333335</v>
      </c>
      <c r="H32" s="73">
        <f t="shared" si="8"/>
        <v>115.38461538461539</v>
      </c>
      <c r="I32" s="33"/>
      <c r="J32" s="83">
        <v>30</v>
      </c>
      <c r="K32" s="96">
        <v>0</v>
      </c>
      <c r="L32" s="83">
        <f>F32*1.5*4</f>
        <v>100</v>
      </c>
      <c r="M32" s="83">
        <v>0</v>
      </c>
      <c r="N32" s="83">
        <f t="shared" si="15"/>
        <v>33.333333333333336</v>
      </c>
      <c r="O32" s="83">
        <f t="shared" si="12"/>
        <v>633.33333333333337</v>
      </c>
      <c r="P32" s="84">
        <f t="shared" si="9"/>
        <v>633.33333333333337</v>
      </c>
      <c r="Q32" s="84">
        <f t="shared" si="6"/>
        <v>69977.600000000006</v>
      </c>
      <c r="R32" s="37">
        <f t="shared" si="13"/>
        <v>16694.400000000001</v>
      </c>
      <c r="S32" s="84">
        <f t="shared" si="3"/>
        <v>87305.333333333343</v>
      </c>
      <c r="T32" s="84">
        <v>160</v>
      </c>
      <c r="U32" s="38">
        <f t="shared" si="7"/>
        <v>18.461538461538463</v>
      </c>
      <c r="V32" s="38">
        <f t="shared" si="10"/>
        <v>2.3076923076923079</v>
      </c>
      <c r="W32" s="38">
        <f t="shared" si="4"/>
        <v>6.3333333333333339</v>
      </c>
      <c r="X32" s="39">
        <v>0</v>
      </c>
      <c r="Y32" s="38">
        <f t="shared" si="0"/>
        <v>0</v>
      </c>
      <c r="Z32" s="38">
        <v>0</v>
      </c>
      <c r="AA32" s="38">
        <v>0</v>
      </c>
      <c r="AB32" s="38">
        <v>0</v>
      </c>
      <c r="AC32" s="85">
        <f t="shared" si="11"/>
        <v>27.102564102564102</v>
      </c>
      <c r="AD32" s="41">
        <f t="shared" si="5"/>
        <v>606.23076923076928</v>
      </c>
    </row>
    <row r="33" spans="1:40" s="97" customFormat="1" x14ac:dyDescent="0.25">
      <c r="A33" s="90">
        <v>67</v>
      </c>
      <c r="B33" s="80" t="s">
        <v>122</v>
      </c>
      <c r="C33" s="79" t="s">
        <v>123</v>
      </c>
      <c r="D33" s="79" t="s">
        <v>70</v>
      </c>
      <c r="E33" s="82">
        <v>500</v>
      </c>
      <c r="F33" s="72">
        <f t="shared" si="1"/>
        <v>16.666666666666668</v>
      </c>
      <c r="G33" s="73">
        <f t="shared" si="2"/>
        <v>2.0833333333333335</v>
      </c>
      <c r="H33" s="73">
        <f t="shared" si="8"/>
        <v>115.38461538461539</v>
      </c>
      <c r="I33" s="33"/>
      <c r="J33" s="83">
        <v>30</v>
      </c>
      <c r="K33" s="96"/>
      <c r="L33" s="83">
        <f>F33*1.5*4</f>
        <v>100</v>
      </c>
      <c r="M33" s="83">
        <v>0</v>
      </c>
      <c r="N33" s="83">
        <f t="shared" si="15"/>
        <v>33.333333333333336</v>
      </c>
      <c r="O33" s="83">
        <f t="shared" si="12"/>
        <v>633.33333333333337</v>
      </c>
      <c r="P33" s="84">
        <f t="shared" si="9"/>
        <v>633.33333333333337</v>
      </c>
      <c r="Q33" s="84">
        <f t="shared" si="6"/>
        <v>69977.600000000006</v>
      </c>
      <c r="R33" s="37">
        <f t="shared" si="13"/>
        <v>16694.400000000001</v>
      </c>
      <c r="S33" s="84">
        <f t="shared" si="3"/>
        <v>87305.333333333343</v>
      </c>
      <c r="T33" s="84">
        <v>160</v>
      </c>
      <c r="U33" s="38">
        <f t="shared" si="7"/>
        <v>18.461538461538463</v>
      </c>
      <c r="V33" s="38">
        <f t="shared" si="10"/>
        <v>2.3076923076923079</v>
      </c>
      <c r="W33" s="38">
        <f t="shared" si="4"/>
        <v>6.3333333333333339</v>
      </c>
      <c r="X33" s="39">
        <v>0</v>
      </c>
      <c r="Y33" s="38">
        <f t="shared" si="0"/>
        <v>0</v>
      </c>
      <c r="Z33" s="38">
        <v>0</v>
      </c>
      <c r="AA33" s="38">
        <v>0</v>
      </c>
      <c r="AB33" s="38">
        <v>0</v>
      </c>
      <c r="AC33" s="85">
        <f t="shared" si="11"/>
        <v>27.102564102564102</v>
      </c>
      <c r="AD33" s="41">
        <f t="shared" si="5"/>
        <v>606.23076923076928</v>
      </c>
    </row>
    <row r="34" spans="1:40" s="97" customFormat="1" x14ac:dyDescent="0.25">
      <c r="A34" s="90">
        <v>29</v>
      </c>
      <c r="B34" s="80" t="s">
        <v>124</v>
      </c>
      <c r="C34" s="79" t="s">
        <v>125</v>
      </c>
      <c r="D34" s="79" t="s">
        <v>65</v>
      </c>
      <c r="E34" s="82">
        <v>700</v>
      </c>
      <c r="F34" s="72">
        <f t="shared" si="1"/>
        <v>23.333333333333332</v>
      </c>
      <c r="G34" s="73">
        <f t="shared" si="2"/>
        <v>2.9166666666666665</v>
      </c>
      <c r="H34" s="73">
        <f t="shared" si="8"/>
        <v>161.53846153846155</v>
      </c>
      <c r="I34" s="33"/>
      <c r="J34" s="83">
        <v>30</v>
      </c>
      <c r="K34" s="96">
        <v>0</v>
      </c>
      <c r="L34" s="83">
        <v>0</v>
      </c>
      <c r="M34" s="83">
        <v>0</v>
      </c>
      <c r="N34" s="83">
        <f t="shared" si="15"/>
        <v>46.666666666666664</v>
      </c>
      <c r="O34" s="83">
        <f t="shared" si="12"/>
        <v>746.66666666666663</v>
      </c>
      <c r="P34" s="84">
        <f t="shared" si="9"/>
        <v>746.66666666666663</v>
      </c>
      <c r="Q34" s="84">
        <f t="shared" si="6"/>
        <v>69977.600000000006</v>
      </c>
      <c r="R34" s="37">
        <f t="shared" si="13"/>
        <v>16694.400000000001</v>
      </c>
      <c r="S34" s="84">
        <f>+P34+Q34+R34</f>
        <v>87418.666666666686</v>
      </c>
      <c r="T34" s="84">
        <v>160</v>
      </c>
      <c r="U34" s="38">
        <f t="shared" si="7"/>
        <v>25.846153846153847</v>
      </c>
      <c r="V34" s="38">
        <f t="shared" si="10"/>
        <v>3.2307692307692308</v>
      </c>
      <c r="W34" s="38">
        <f t="shared" si="4"/>
        <v>7.4666666666666668</v>
      </c>
      <c r="X34" s="39">
        <v>0</v>
      </c>
      <c r="Y34" s="38">
        <f t="shared" si="0"/>
        <v>0</v>
      </c>
      <c r="Z34" s="38">
        <v>0</v>
      </c>
      <c r="AA34" s="38">
        <v>0</v>
      </c>
      <c r="AB34" s="38">
        <v>0</v>
      </c>
      <c r="AC34" s="85">
        <f t="shared" si="11"/>
        <v>36.543589743589742</v>
      </c>
      <c r="AD34" s="41">
        <f t="shared" si="5"/>
        <v>710.12307692307684</v>
      </c>
    </row>
    <row r="35" spans="1:40" s="57" customFormat="1" ht="18" customHeight="1" x14ac:dyDescent="0.25">
      <c r="A35" s="90">
        <v>30</v>
      </c>
      <c r="B35" s="81" t="s">
        <v>129</v>
      </c>
      <c r="C35" s="86" t="s">
        <v>130</v>
      </c>
      <c r="D35" s="79" t="s">
        <v>70</v>
      </c>
      <c r="E35" s="82">
        <v>500</v>
      </c>
      <c r="F35" s="72">
        <f t="shared" si="1"/>
        <v>16.666666666666668</v>
      </c>
      <c r="G35" s="73">
        <f t="shared" ref="G35:G42" si="16">F35/8</f>
        <v>2.0833333333333335</v>
      </c>
      <c r="H35" s="73">
        <f t="shared" ref="H35:H42" si="17">E35*12/52</f>
        <v>115.38461538461539</v>
      </c>
      <c r="I35" s="87"/>
      <c r="J35" s="83">
        <v>21</v>
      </c>
      <c r="K35" s="96">
        <f>2.71*18</f>
        <v>48.78</v>
      </c>
      <c r="L35" s="83">
        <v>0</v>
      </c>
      <c r="M35" s="83">
        <v>0</v>
      </c>
      <c r="N35" s="83">
        <f t="shared" si="15"/>
        <v>33.333333333333336</v>
      </c>
      <c r="O35" s="83">
        <f t="shared" si="12"/>
        <v>432.11333333333329</v>
      </c>
      <c r="P35" s="84">
        <f t="shared" si="9"/>
        <v>432.11333333333329</v>
      </c>
      <c r="Q35" s="84">
        <f t="shared" si="6"/>
        <v>69977.600000000006</v>
      </c>
      <c r="R35" s="37">
        <f>(($R$4*$R$5)/30)*21</f>
        <v>11686.08</v>
      </c>
      <c r="S35" s="84">
        <f t="shared" si="3"/>
        <v>82095.793333333335</v>
      </c>
      <c r="T35" s="84">
        <v>160</v>
      </c>
      <c r="U35" s="38">
        <f t="shared" si="7"/>
        <v>18.461538461538463</v>
      </c>
      <c r="V35" s="38">
        <f t="shared" si="10"/>
        <v>2.3076923076923079</v>
      </c>
      <c r="W35" s="38">
        <f t="shared" si="4"/>
        <v>4.321133333333333</v>
      </c>
      <c r="X35" s="39">
        <v>0</v>
      </c>
      <c r="Y35" s="38">
        <f t="shared" si="0"/>
        <v>0</v>
      </c>
      <c r="Z35" s="38">
        <v>0</v>
      </c>
      <c r="AA35" s="38">
        <v>0</v>
      </c>
      <c r="AB35" s="38">
        <v>0</v>
      </c>
      <c r="AC35" s="85">
        <f t="shared" si="11"/>
        <v>25.090364102564102</v>
      </c>
      <c r="AD35" s="41">
        <f t="shared" si="5"/>
        <v>407.02296923076921</v>
      </c>
      <c r="AE35" s="97"/>
    </row>
    <row r="36" spans="1:40" s="57" customFormat="1" ht="18" customHeight="1" x14ac:dyDescent="0.25">
      <c r="A36" s="90">
        <v>31</v>
      </c>
      <c r="B36" s="81" t="s">
        <v>132</v>
      </c>
      <c r="C36" s="86" t="s">
        <v>133</v>
      </c>
      <c r="D36" s="79" t="s">
        <v>89</v>
      </c>
      <c r="E36" s="82">
        <v>500</v>
      </c>
      <c r="F36" s="72">
        <f t="shared" si="1"/>
        <v>16.666666666666668</v>
      </c>
      <c r="G36" s="73">
        <f t="shared" si="16"/>
        <v>2.0833333333333335</v>
      </c>
      <c r="H36" s="73">
        <f t="shared" si="17"/>
        <v>115.38461538461539</v>
      </c>
      <c r="I36" s="87"/>
      <c r="J36" s="83">
        <v>30</v>
      </c>
      <c r="K36" s="96">
        <v>0</v>
      </c>
      <c r="L36" s="83">
        <f>F36*1.5*4</f>
        <v>100</v>
      </c>
      <c r="M36" s="83">
        <v>0</v>
      </c>
      <c r="N36" s="83">
        <f t="shared" si="14"/>
        <v>16.666666666666668</v>
      </c>
      <c r="O36" s="83">
        <f t="shared" si="12"/>
        <v>616.66666666666663</v>
      </c>
      <c r="P36" s="84">
        <f t="shared" si="9"/>
        <v>616.66666666666663</v>
      </c>
      <c r="Q36" s="84">
        <f t="shared" si="6"/>
        <v>69977.600000000006</v>
      </c>
      <c r="R36" s="37">
        <f t="shared" si="13"/>
        <v>16694.400000000001</v>
      </c>
      <c r="S36" s="84">
        <f t="shared" si="3"/>
        <v>87288.666666666686</v>
      </c>
      <c r="T36" s="84">
        <v>160</v>
      </c>
      <c r="U36" s="38">
        <f t="shared" si="7"/>
        <v>18.461538461538463</v>
      </c>
      <c r="V36" s="38">
        <f t="shared" si="10"/>
        <v>2.3076923076923079</v>
      </c>
      <c r="W36" s="38">
        <f t="shared" si="4"/>
        <v>6.1666666666666661</v>
      </c>
      <c r="X36" s="39">
        <v>0</v>
      </c>
      <c r="Y36" s="38">
        <f t="shared" ref="Y36:Y39" si="18">E36*X36</f>
        <v>0</v>
      </c>
      <c r="Z36" s="38">
        <v>0</v>
      </c>
      <c r="AA36" s="38">
        <v>0</v>
      </c>
      <c r="AB36" s="38">
        <v>0</v>
      </c>
      <c r="AC36" s="85">
        <f>U36+V36+W36</f>
        <v>26.935897435897438</v>
      </c>
      <c r="AD36" s="41">
        <f>+O36-AC36</f>
        <v>589.73076923076917</v>
      </c>
      <c r="AE36" s="97"/>
      <c r="AN36" s="133"/>
    </row>
    <row r="37" spans="1:40" s="57" customFormat="1" ht="18" customHeight="1" x14ac:dyDescent="0.25">
      <c r="A37" s="90">
        <v>32</v>
      </c>
      <c r="B37" s="81" t="s">
        <v>134</v>
      </c>
      <c r="C37" s="86" t="s">
        <v>135</v>
      </c>
      <c r="D37" s="79" t="s">
        <v>106</v>
      </c>
      <c r="E37" s="82">
        <v>500</v>
      </c>
      <c r="F37" s="72">
        <f t="shared" si="1"/>
        <v>16.666666666666668</v>
      </c>
      <c r="G37" s="73">
        <f t="shared" si="16"/>
        <v>2.0833333333333335</v>
      </c>
      <c r="H37" s="73">
        <f t="shared" si="17"/>
        <v>115.38461538461539</v>
      </c>
      <c r="I37" s="87"/>
      <c r="J37" s="83">
        <v>30</v>
      </c>
      <c r="K37" s="96">
        <f>2.71*20</f>
        <v>54.2</v>
      </c>
      <c r="L37" s="83">
        <f>F37*1.5*4</f>
        <v>100</v>
      </c>
      <c r="M37" s="83">
        <v>0</v>
      </c>
      <c r="N37" s="83">
        <f t="shared" si="14"/>
        <v>16.666666666666668</v>
      </c>
      <c r="O37" s="83">
        <f t="shared" si="12"/>
        <v>670.86666666666667</v>
      </c>
      <c r="P37" s="84">
        <f t="shared" si="9"/>
        <v>670.86666666666667</v>
      </c>
      <c r="Q37" s="84">
        <f t="shared" si="6"/>
        <v>69977.600000000006</v>
      </c>
      <c r="R37" s="37">
        <f t="shared" si="13"/>
        <v>16694.400000000001</v>
      </c>
      <c r="S37" s="84">
        <f>+P37+Q37+R37</f>
        <v>87342.866666666669</v>
      </c>
      <c r="T37" s="84">
        <v>160</v>
      </c>
      <c r="U37" s="38">
        <f t="shared" si="7"/>
        <v>18.461538461538463</v>
      </c>
      <c r="V37" s="38">
        <f t="shared" si="10"/>
        <v>2.3076923076923079</v>
      </c>
      <c r="W37" s="38">
        <f t="shared" si="4"/>
        <v>6.7086666666666668</v>
      </c>
      <c r="X37" s="39">
        <v>0</v>
      </c>
      <c r="Y37" s="38">
        <f t="shared" si="18"/>
        <v>0</v>
      </c>
      <c r="Z37" s="38">
        <v>0</v>
      </c>
      <c r="AA37" s="38">
        <v>0</v>
      </c>
      <c r="AB37" s="38">
        <v>0</v>
      </c>
      <c r="AC37" s="85">
        <f t="shared" ref="AC37:AC43" si="19">U37+V37+W37</f>
        <v>27.477897435897436</v>
      </c>
      <c r="AD37" s="41">
        <f t="shared" si="5"/>
        <v>643.38876923076919</v>
      </c>
      <c r="AE37" s="97"/>
    </row>
    <row r="38" spans="1:40" s="57" customFormat="1" ht="18" customHeight="1" x14ac:dyDescent="0.25">
      <c r="A38" s="90">
        <v>34</v>
      </c>
      <c r="B38" s="81" t="s">
        <v>150</v>
      </c>
      <c r="C38" s="86" t="s">
        <v>151</v>
      </c>
      <c r="D38" s="79" t="s">
        <v>70</v>
      </c>
      <c r="E38" s="82">
        <v>500</v>
      </c>
      <c r="F38" s="72">
        <f t="shared" ref="F38" si="20">E38/30</f>
        <v>16.666666666666668</v>
      </c>
      <c r="G38" s="73">
        <f t="shared" si="16"/>
        <v>2.0833333333333335</v>
      </c>
      <c r="H38" s="73">
        <f t="shared" si="17"/>
        <v>115.38461538461539</v>
      </c>
      <c r="I38" s="87"/>
      <c r="J38" s="83">
        <v>30</v>
      </c>
      <c r="K38" s="96"/>
      <c r="L38" s="83">
        <f>F38*1.5*4</f>
        <v>100</v>
      </c>
      <c r="M38" s="83"/>
      <c r="N38" s="83">
        <f>F38*2</f>
        <v>33.333333333333336</v>
      </c>
      <c r="O38" s="83">
        <f t="shared" ref="O38" si="21">F38*J38+K38+L38+M38+N38</f>
        <v>633.33333333333337</v>
      </c>
      <c r="P38" s="84">
        <f t="shared" ref="P38" si="22">+O38</f>
        <v>633.33333333333337</v>
      </c>
      <c r="Q38" s="84">
        <f t="shared" si="6"/>
        <v>69977.600000000006</v>
      </c>
      <c r="R38" s="37">
        <f t="shared" si="13"/>
        <v>16694.400000000001</v>
      </c>
      <c r="S38" s="84">
        <f>+P38+Q38+R38</f>
        <v>87305.333333333343</v>
      </c>
      <c r="T38" s="84">
        <v>0</v>
      </c>
      <c r="U38" s="38">
        <v>0</v>
      </c>
      <c r="V38" s="38">
        <v>0</v>
      </c>
      <c r="W38" s="38">
        <v>0</v>
      </c>
      <c r="X38" s="39">
        <v>0</v>
      </c>
      <c r="Y38" s="38">
        <f t="shared" ref="Y38" si="23">E38*X38</f>
        <v>0</v>
      </c>
      <c r="Z38" s="38">
        <v>0</v>
      </c>
      <c r="AA38" s="38">
        <v>0</v>
      </c>
      <c r="AB38" s="38">
        <v>0</v>
      </c>
      <c r="AC38" s="85">
        <f t="shared" si="19"/>
        <v>0</v>
      </c>
      <c r="AD38" s="41">
        <f t="shared" ref="AD38:AD43" si="24">+O38-AC38</f>
        <v>633.33333333333337</v>
      </c>
      <c r="AE38" s="97"/>
    </row>
    <row r="39" spans="1:40" s="7" customFormat="1" ht="18" customHeight="1" x14ac:dyDescent="0.25">
      <c r="A39" s="28">
        <v>35</v>
      </c>
      <c r="B39" s="81" t="s">
        <v>152</v>
      </c>
      <c r="C39" s="86" t="s">
        <v>153</v>
      </c>
      <c r="D39" s="79" t="s">
        <v>53</v>
      </c>
      <c r="E39" s="82">
        <v>500</v>
      </c>
      <c r="F39" s="72">
        <f t="shared" si="1"/>
        <v>16.666666666666668</v>
      </c>
      <c r="G39" s="73">
        <f t="shared" si="16"/>
        <v>2.0833333333333335</v>
      </c>
      <c r="H39" s="73">
        <f t="shared" si="17"/>
        <v>115.38461538461539</v>
      </c>
      <c r="I39" s="87"/>
      <c r="J39" s="83">
        <v>28</v>
      </c>
      <c r="K39" s="96">
        <v>0</v>
      </c>
      <c r="L39" s="83">
        <f>F39*1.5*4</f>
        <v>100</v>
      </c>
      <c r="M39" s="83">
        <v>0</v>
      </c>
      <c r="N39" s="83">
        <f t="shared" si="14"/>
        <v>16.666666666666668</v>
      </c>
      <c r="O39" s="83">
        <f>F39*J39+K39+L39+M39+N39</f>
        <v>583.33333333333337</v>
      </c>
      <c r="P39" s="84">
        <f>+O39</f>
        <v>583.33333333333337</v>
      </c>
      <c r="Q39" s="84">
        <f t="shared" si="6"/>
        <v>69977.600000000006</v>
      </c>
      <c r="R39" s="37">
        <f>(($R$4*$R$5)/30)*28</f>
        <v>15581.44</v>
      </c>
      <c r="S39" s="84">
        <f>+P39+Q39+R39</f>
        <v>86142.373333333337</v>
      </c>
      <c r="T39" s="84">
        <v>0</v>
      </c>
      <c r="U39" s="38">
        <v>0</v>
      </c>
      <c r="V39" s="38">
        <v>0</v>
      </c>
      <c r="W39" s="38">
        <v>0</v>
      </c>
      <c r="X39" s="39">
        <v>0</v>
      </c>
      <c r="Y39" s="38">
        <f t="shared" si="18"/>
        <v>0</v>
      </c>
      <c r="Z39" s="38">
        <v>0</v>
      </c>
      <c r="AA39" s="38">
        <v>0</v>
      </c>
      <c r="AB39" s="38">
        <v>0</v>
      </c>
      <c r="AC39" s="85">
        <f t="shared" si="19"/>
        <v>0</v>
      </c>
      <c r="AD39" s="41">
        <f t="shared" si="24"/>
        <v>583.33333333333337</v>
      </c>
      <c r="AE39"/>
    </row>
    <row r="40" spans="1:40" s="7" customFormat="1" ht="18" customHeight="1" x14ac:dyDescent="0.25">
      <c r="A40" s="28">
        <v>36</v>
      </c>
      <c r="B40" s="81" t="s">
        <v>182</v>
      </c>
      <c r="C40" s="86" t="s">
        <v>181</v>
      </c>
      <c r="D40" s="79" t="s">
        <v>53</v>
      </c>
      <c r="E40" s="82">
        <v>500</v>
      </c>
      <c r="F40" s="72">
        <f t="shared" si="1"/>
        <v>16.666666666666668</v>
      </c>
      <c r="G40" s="73">
        <f t="shared" si="16"/>
        <v>2.0833333333333335</v>
      </c>
      <c r="H40" s="73">
        <f t="shared" si="17"/>
        <v>115.38461538461539</v>
      </c>
      <c r="I40" s="87"/>
      <c r="J40" s="83">
        <v>7</v>
      </c>
      <c r="K40" s="96"/>
      <c r="L40" s="83">
        <v>0</v>
      </c>
      <c r="M40" s="83">
        <v>0</v>
      </c>
      <c r="N40" s="83">
        <v>0</v>
      </c>
      <c r="O40" s="83">
        <f t="shared" ref="O40:O43" si="25">F40*J40+K40+L40+M40+N40</f>
        <v>116.66666666666667</v>
      </c>
      <c r="P40" s="84">
        <f t="shared" ref="P40:P43" si="26">+O40</f>
        <v>116.66666666666667</v>
      </c>
      <c r="Q40" s="84">
        <f t="shared" si="6"/>
        <v>69977.600000000006</v>
      </c>
      <c r="R40" s="37">
        <f>(($R$4*$R$5)/30)*7</f>
        <v>3895.36</v>
      </c>
      <c r="S40" s="84">
        <f t="shared" ref="S40:S43" si="27">+P40+Q40+R40</f>
        <v>73989.626666666678</v>
      </c>
      <c r="T40" s="84">
        <v>0</v>
      </c>
      <c r="U40" s="38">
        <f t="shared" si="7"/>
        <v>18.461538461538463</v>
      </c>
      <c r="V40" s="38">
        <f t="shared" si="10"/>
        <v>2.3076923076923079</v>
      </c>
      <c r="W40" s="38">
        <f t="shared" si="4"/>
        <v>1.1666666666666667</v>
      </c>
      <c r="X40" s="39"/>
      <c r="Y40" s="38"/>
      <c r="Z40" s="38"/>
      <c r="AA40" s="38">
        <v>0</v>
      </c>
      <c r="AB40" s="38"/>
      <c r="AC40" s="85">
        <f t="shared" si="19"/>
        <v>21.935897435897438</v>
      </c>
      <c r="AD40" s="41">
        <f t="shared" si="24"/>
        <v>94.730769230769226</v>
      </c>
      <c r="AE40"/>
    </row>
    <row r="41" spans="1:40" s="7" customFormat="1" ht="18" customHeight="1" x14ac:dyDescent="0.25">
      <c r="A41" s="28">
        <v>37</v>
      </c>
      <c r="B41" s="81" t="s">
        <v>197</v>
      </c>
      <c r="C41" s="86" t="s">
        <v>196</v>
      </c>
      <c r="D41" s="79" t="s">
        <v>56</v>
      </c>
      <c r="E41" s="82">
        <v>500</v>
      </c>
      <c r="F41" s="72">
        <f t="shared" si="1"/>
        <v>16.666666666666668</v>
      </c>
      <c r="G41" s="73">
        <f t="shared" si="16"/>
        <v>2.0833333333333335</v>
      </c>
      <c r="H41" s="73">
        <f t="shared" si="17"/>
        <v>115.38461538461539</v>
      </c>
      <c r="I41" s="87"/>
      <c r="J41" s="83">
        <v>9</v>
      </c>
      <c r="K41" s="96"/>
      <c r="L41" s="83">
        <f>F41*1.5*1</f>
        <v>25</v>
      </c>
      <c r="M41" s="83">
        <v>0</v>
      </c>
      <c r="N41" s="83">
        <v>0</v>
      </c>
      <c r="O41" s="83">
        <f t="shared" si="25"/>
        <v>175</v>
      </c>
      <c r="P41" s="84">
        <f t="shared" si="26"/>
        <v>175</v>
      </c>
      <c r="Q41" s="84">
        <f t="shared" si="6"/>
        <v>69977.600000000006</v>
      </c>
      <c r="R41" s="37">
        <f>(($R$4*$R$5)/30)*9</f>
        <v>5008.32</v>
      </c>
      <c r="S41" s="84">
        <v>0</v>
      </c>
      <c r="T41" s="84">
        <v>0</v>
      </c>
      <c r="U41" s="38">
        <v>0</v>
      </c>
      <c r="V41" s="38">
        <v>0</v>
      </c>
      <c r="W41" s="38">
        <v>0</v>
      </c>
      <c r="X41" s="39"/>
      <c r="Y41" s="38"/>
      <c r="Z41" s="38"/>
      <c r="AA41" s="38">
        <v>0</v>
      </c>
      <c r="AB41" s="38"/>
      <c r="AC41" s="85">
        <f t="shared" si="19"/>
        <v>0</v>
      </c>
      <c r="AD41" s="41">
        <f t="shared" si="24"/>
        <v>175</v>
      </c>
      <c r="AE41"/>
    </row>
    <row r="42" spans="1:40" s="7" customFormat="1" ht="18" customHeight="1" x14ac:dyDescent="0.25">
      <c r="A42" s="28">
        <v>38</v>
      </c>
      <c r="B42" s="81" t="s">
        <v>198</v>
      </c>
      <c r="C42" s="86" t="s">
        <v>199</v>
      </c>
      <c r="D42" s="79" t="s">
        <v>53</v>
      </c>
      <c r="E42" s="82">
        <v>500</v>
      </c>
      <c r="F42" s="72">
        <f t="shared" si="1"/>
        <v>16.666666666666668</v>
      </c>
      <c r="G42" s="73">
        <f t="shared" si="16"/>
        <v>2.0833333333333335</v>
      </c>
      <c r="H42" s="73">
        <f t="shared" si="17"/>
        <v>115.38461538461539</v>
      </c>
      <c r="I42" s="87"/>
      <c r="J42" s="83">
        <v>8</v>
      </c>
      <c r="K42" s="96"/>
      <c r="L42" s="83">
        <f>F42*1.5*1</f>
        <v>25</v>
      </c>
      <c r="M42" s="83">
        <v>0</v>
      </c>
      <c r="N42" s="83">
        <v>0</v>
      </c>
      <c r="O42" s="83">
        <f t="shared" si="25"/>
        <v>158.33333333333334</v>
      </c>
      <c r="P42" s="84">
        <f t="shared" si="26"/>
        <v>158.33333333333334</v>
      </c>
      <c r="Q42" s="84">
        <f t="shared" si="6"/>
        <v>69977.600000000006</v>
      </c>
      <c r="R42" s="37">
        <f>(($R$4*$R$5)/30)*8</f>
        <v>4451.84</v>
      </c>
      <c r="S42" s="84">
        <v>0</v>
      </c>
      <c r="T42" s="84">
        <v>0</v>
      </c>
      <c r="U42" s="38">
        <v>0</v>
      </c>
      <c r="V42" s="38">
        <v>0</v>
      </c>
      <c r="W42" s="38">
        <v>0</v>
      </c>
      <c r="X42" s="39"/>
      <c r="Y42" s="38"/>
      <c r="Z42" s="38"/>
      <c r="AA42" s="38">
        <v>0</v>
      </c>
      <c r="AB42" s="38"/>
      <c r="AC42" s="85">
        <f t="shared" si="19"/>
        <v>0</v>
      </c>
      <c r="AD42" s="41">
        <f t="shared" si="24"/>
        <v>158.33333333333334</v>
      </c>
      <c r="AE42"/>
    </row>
    <row r="43" spans="1:40" s="7" customFormat="1" ht="18" customHeight="1" x14ac:dyDescent="0.25">
      <c r="A43" s="28"/>
      <c r="B43" s="81"/>
      <c r="C43" s="86"/>
      <c r="D43" s="79"/>
      <c r="E43" s="82"/>
      <c r="F43" s="72"/>
      <c r="G43" s="73"/>
      <c r="H43" s="73"/>
      <c r="I43" s="87"/>
      <c r="J43" s="83"/>
      <c r="K43" s="96"/>
      <c r="L43" s="83"/>
      <c r="M43" s="83"/>
      <c r="N43" s="83"/>
      <c r="O43" s="83">
        <f t="shared" si="25"/>
        <v>0</v>
      </c>
      <c r="P43" s="84">
        <f t="shared" si="26"/>
        <v>0</v>
      </c>
      <c r="Q43" s="84">
        <v>0</v>
      </c>
      <c r="R43" s="37">
        <f t="shared" si="13"/>
        <v>0</v>
      </c>
      <c r="S43" s="84">
        <f t="shared" si="27"/>
        <v>0</v>
      </c>
      <c r="T43" s="84">
        <v>0</v>
      </c>
      <c r="U43" s="38">
        <f t="shared" si="7"/>
        <v>0</v>
      </c>
      <c r="V43" s="38">
        <v>0</v>
      </c>
      <c r="W43" s="38">
        <f t="shared" si="4"/>
        <v>0</v>
      </c>
      <c r="X43" s="39"/>
      <c r="Y43" s="38"/>
      <c r="Z43" s="38"/>
      <c r="AA43" s="38">
        <v>0</v>
      </c>
      <c r="AB43" s="38"/>
      <c r="AC43" s="85">
        <f t="shared" si="19"/>
        <v>0</v>
      </c>
      <c r="AD43" s="41">
        <f t="shared" si="24"/>
        <v>0</v>
      </c>
      <c r="AE43"/>
    </row>
    <row r="44" spans="1:40" ht="15.75" customHeight="1" x14ac:dyDescent="0.25">
      <c r="A44" s="28"/>
      <c r="B44" s="88"/>
      <c r="C44" s="89"/>
      <c r="D44" s="90"/>
      <c r="E44" s="91">
        <f>SUM(E8:E36)</f>
        <v>17500</v>
      </c>
      <c r="F44" s="92">
        <f>SUM(F8:F36)</f>
        <v>583.33333333333337</v>
      </c>
      <c r="G44" s="92">
        <f>SUM(G8:G36)</f>
        <v>72.916666666666671</v>
      </c>
      <c r="H44" s="92">
        <f>SUM(H8:H36)</f>
        <v>4038.4615384615372</v>
      </c>
      <c r="I44" s="93"/>
      <c r="J44" s="94"/>
      <c r="K44" s="91">
        <f>SUM(K8:K36)</f>
        <v>363.14</v>
      </c>
      <c r="L44" s="95"/>
      <c r="M44" s="95">
        <f>SUM(M8:M34)</f>
        <v>0</v>
      </c>
      <c r="N44" s="83">
        <f t="shared" si="14"/>
        <v>583.33333333333337</v>
      </c>
      <c r="O44" s="95">
        <f t="shared" ref="O44:W44" si="28">SUM(O8:O39)</f>
        <v>19470.673333333329</v>
      </c>
      <c r="P44" s="95">
        <f t="shared" si="28"/>
        <v>19470.673333333329</v>
      </c>
      <c r="Q44" s="95">
        <f t="shared" si="28"/>
        <v>2169305.600000001</v>
      </c>
      <c r="R44" s="50">
        <f>SUM(R8:R42)</f>
        <v>523647.68000000028</v>
      </c>
      <c r="S44" s="95">
        <f t="shared" si="28"/>
        <v>2699068.433333334</v>
      </c>
      <c r="T44" s="95">
        <f t="shared" si="28"/>
        <v>4640</v>
      </c>
      <c r="U44" s="95">
        <f t="shared" si="28"/>
        <v>646.15384615384596</v>
      </c>
      <c r="V44" s="51">
        <f t="shared" si="28"/>
        <v>80.769230769230745</v>
      </c>
      <c r="W44" s="95">
        <f t="shared" si="28"/>
        <v>182.54006666666672</v>
      </c>
      <c r="X44" s="39">
        <v>0</v>
      </c>
      <c r="Y44" s="38">
        <f>E44*X44</f>
        <v>0</v>
      </c>
      <c r="Z44" s="38">
        <v>0</v>
      </c>
      <c r="AA44" s="38">
        <v>0</v>
      </c>
      <c r="AB44" s="38">
        <v>0</v>
      </c>
      <c r="AC44" s="95">
        <f>SUM(AC8:AC39)</f>
        <v>909.46314358974371</v>
      </c>
      <c r="AD44" s="50">
        <f>SUM(AD8:AD42)</f>
        <v>18989.274292307691</v>
      </c>
    </row>
    <row r="45" spans="1:40" x14ac:dyDescent="0.25">
      <c r="A45" s="52"/>
      <c r="B45" s="147"/>
      <c r="C45" s="147"/>
      <c r="D45" s="147"/>
      <c r="E45" s="52"/>
      <c r="F45" s="53"/>
      <c r="G45" s="53"/>
      <c r="H45" s="53"/>
      <c r="I45" s="52"/>
      <c r="J45" s="52"/>
      <c r="K45" s="52"/>
      <c r="L45" s="52"/>
      <c r="M45" s="52"/>
      <c r="N45" s="52"/>
      <c r="O45" s="52"/>
      <c r="P45" s="16"/>
      <c r="Q45" s="54">
        <f>Q44*9%</f>
        <v>195237.50400000007</v>
      </c>
      <c r="R45" s="16"/>
      <c r="T45" s="54">
        <f>+T44*9%</f>
        <v>417.59999999999997</v>
      </c>
      <c r="U45" s="7"/>
      <c r="V45" s="55"/>
      <c r="W45" s="7"/>
      <c r="X45" s="7"/>
      <c r="Y45" s="7"/>
      <c r="Z45" s="7"/>
      <c r="AA45" s="7"/>
      <c r="AB45" s="7"/>
      <c r="AC45" s="7"/>
      <c r="AD45" s="7"/>
    </row>
    <row r="46" spans="1:40" x14ac:dyDescent="0.25">
      <c r="A46" s="7"/>
      <c r="B46" s="56" t="s">
        <v>116</v>
      </c>
      <c r="C46" s="57"/>
      <c r="D46" s="57"/>
      <c r="E46" s="58"/>
      <c r="F46" s="57"/>
      <c r="G46" s="21"/>
      <c r="H46" s="57"/>
      <c r="I46" s="59"/>
      <c r="J46" s="57"/>
      <c r="K46" s="57"/>
      <c r="L46" s="57"/>
      <c r="M46" s="16"/>
      <c r="N46" s="16"/>
      <c r="O46" s="60"/>
      <c r="P46" s="11"/>
      <c r="Q46" s="63" t="s">
        <v>117</v>
      </c>
      <c r="R46" s="62"/>
      <c r="U46" s="62"/>
      <c r="V46" s="62"/>
      <c r="W46" s="62"/>
      <c r="X46" s="62"/>
      <c r="Y46" s="62"/>
      <c r="Z46" s="62"/>
      <c r="AA46" s="62"/>
      <c r="AB46" s="62"/>
      <c r="AC46" s="62"/>
      <c r="AD46" s="74"/>
    </row>
    <row r="47" spans="1:40" ht="28.5" customHeight="1" x14ac:dyDescent="0.25">
      <c r="A47" s="7"/>
      <c r="B47" s="147"/>
      <c r="C47" s="147"/>
      <c r="D47" s="57"/>
      <c r="E47" s="65"/>
      <c r="F47" s="66"/>
      <c r="G47" s="66"/>
      <c r="H47" s="66"/>
      <c r="I47" s="67"/>
      <c r="J47" s="11"/>
      <c r="K47" s="11"/>
      <c r="L47" s="11"/>
      <c r="M47" s="16"/>
      <c r="N47" s="16"/>
      <c r="O47" s="11">
        <f>6292/363</f>
        <v>17.333333333333332</v>
      </c>
      <c r="P47" s="11"/>
      <c r="Q47" s="69" t="s">
        <v>118</v>
      </c>
      <c r="R47" s="68"/>
      <c r="T47" s="69"/>
      <c r="U47" s="68"/>
      <c r="V47" s="68"/>
      <c r="W47" s="68"/>
      <c r="X47" s="68"/>
      <c r="Y47" s="68"/>
      <c r="Z47" s="68"/>
      <c r="AA47" s="68"/>
      <c r="AB47" s="68"/>
      <c r="AC47" s="68"/>
      <c r="AD47" s="75"/>
    </row>
    <row r="48" spans="1:40" x14ac:dyDescent="0.25">
      <c r="A48" s="7"/>
      <c r="B48" s="151"/>
      <c r="C48" s="151"/>
      <c r="D48" s="21"/>
      <c r="E48" s="7"/>
      <c r="F48" s="21"/>
      <c r="G48" s="21"/>
      <c r="H48" s="21"/>
      <c r="I48" s="71"/>
      <c r="J48" s="7"/>
      <c r="K48" s="7"/>
      <c r="L48" s="7"/>
      <c r="M48" s="7"/>
      <c r="N48" s="7"/>
      <c r="O48" s="7"/>
      <c r="P48" s="11"/>
      <c r="Q48" s="11"/>
      <c r="R48" s="11"/>
      <c r="S48" s="11"/>
      <c r="T48" s="11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28.5" customHeight="1" x14ac:dyDescent="0.25">
      <c r="A49" s="7"/>
      <c r="B49" s="147"/>
      <c r="C49" s="147"/>
      <c r="D49" s="66"/>
      <c r="E49" s="65"/>
      <c r="F49" s="66"/>
      <c r="G49" s="66"/>
      <c r="H49" s="66"/>
      <c r="I49" s="67"/>
      <c r="J49" s="65"/>
      <c r="K49" s="65"/>
      <c r="L49" s="65"/>
      <c r="M49" s="65"/>
      <c r="N49" s="7"/>
      <c r="O49" s="7"/>
      <c r="P49" s="11"/>
      <c r="Q49" s="11"/>
      <c r="R49" s="11"/>
      <c r="S49" s="11"/>
      <c r="T49" s="11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x14ac:dyDescent="0.25">
      <c r="Q50" s="11"/>
      <c r="R50" s="63"/>
    </row>
    <row r="51" spans="1:30" x14ac:dyDescent="0.25">
      <c r="R51" s="77"/>
    </row>
    <row r="52" spans="1:30" x14ac:dyDescent="0.25">
      <c r="R52" s="78"/>
    </row>
  </sheetData>
  <mergeCells count="26">
    <mergeCell ref="B47:C47"/>
    <mergeCell ref="B48:C48"/>
    <mergeCell ref="B49:C49"/>
    <mergeCell ref="U2:U4"/>
    <mergeCell ref="V2:V4"/>
    <mergeCell ref="B45:D45"/>
    <mergeCell ref="W2:W4"/>
    <mergeCell ref="J4:O4"/>
    <mergeCell ref="A6:A7"/>
    <mergeCell ref="B6:B7"/>
    <mergeCell ref="C6:C7"/>
    <mergeCell ref="D6:D7"/>
    <mergeCell ref="E6:E7"/>
    <mergeCell ref="I6:I7"/>
    <mergeCell ref="AB6:AB7"/>
    <mergeCell ref="AC6:AC7"/>
    <mergeCell ref="J6:J7"/>
    <mergeCell ref="O6:O7"/>
    <mergeCell ref="P6:P7"/>
    <mergeCell ref="Q6:Q7"/>
    <mergeCell ref="R6:R7"/>
    <mergeCell ref="S6:S7"/>
    <mergeCell ref="T6:T7"/>
    <mergeCell ref="U6:U7"/>
    <mergeCell ref="V6:V7"/>
    <mergeCell ref="W6:W7"/>
  </mergeCells>
  <phoneticPr fontId="21" type="noConversion"/>
  <dataValidations disablePrompts="1" count="1">
    <dataValidation type="custom" allowBlank="1" showErrorMessage="1" error="Valor inválido. La cuenta destino deber contener valores numéricos  y de longitud igual a 20 dígitos." sqref="I35:I43" xr:uid="{00000000-0002-0000-0400-000000000000}">
      <formula1 xml:space="preserve"> AND(LEN(I35)=20,ISNUMBER(INT(I35)))</formula1>
    </dataValidation>
  </dataValidations>
  <printOptions horizontalCentered="1"/>
  <pageMargins left="0.51181102362204722" right="0.19685039370078741" top="0.74803149606299213" bottom="0.74803149606299213" header="0.31496062992125984" footer="0.31496062992125984"/>
  <pageSetup scale="33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F759-1F3A-4393-92AD-90D8402189F8}">
  <dimension ref="B3:C11"/>
  <sheetViews>
    <sheetView topLeftCell="B1" workbookViewId="0">
      <selection activeCell="B14" sqref="B14"/>
    </sheetView>
  </sheetViews>
  <sheetFormatPr baseColWidth="10" defaultRowHeight="15" x14ac:dyDescent="0.25"/>
  <cols>
    <col min="2" max="2" width="62.85546875" customWidth="1"/>
    <col min="3" max="3" width="31.5703125" customWidth="1"/>
  </cols>
  <sheetData>
    <row r="3" spans="2:3" ht="15.75" x14ac:dyDescent="0.25">
      <c r="B3" s="98" t="s">
        <v>136</v>
      </c>
      <c r="C3" s="100" t="s">
        <v>137</v>
      </c>
    </row>
    <row r="4" spans="2:3" ht="15.75" x14ac:dyDescent="0.25">
      <c r="B4" s="99" t="s">
        <v>139</v>
      </c>
      <c r="C4" s="100" t="s">
        <v>138</v>
      </c>
    </row>
    <row r="5" spans="2:3" ht="15.75" x14ac:dyDescent="0.25">
      <c r="B5" s="99" t="s">
        <v>140</v>
      </c>
      <c r="C5" s="100" t="s">
        <v>138</v>
      </c>
    </row>
    <row r="6" spans="2:3" ht="15.75" x14ac:dyDescent="0.25">
      <c r="B6" s="98" t="s">
        <v>141</v>
      </c>
      <c r="C6" s="100" t="s">
        <v>142</v>
      </c>
    </row>
    <row r="7" spans="2:3" ht="15.75" x14ac:dyDescent="0.25">
      <c r="B7" s="99" t="s">
        <v>143</v>
      </c>
      <c r="C7" s="100" t="s">
        <v>144</v>
      </c>
    </row>
    <row r="8" spans="2:3" ht="15.75" x14ac:dyDescent="0.25">
      <c r="B8" s="98" t="s">
        <v>145</v>
      </c>
      <c r="C8" s="100" t="s">
        <v>146</v>
      </c>
    </row>
    <row r="9" spans="2:3" ht="15.75" x14ac:dyDescent="0.25">
      <c r="B9" s="99" t="s">
        <v>147</v>
      </c>
      <c r="C9" s="100" t="s">
        <v>138</v>
      </c>
    </row>
    <row r="10" spans="2:3" ht="15.75" x14ac:dyDescent="0.25">
      <c r="B10" s="101" t="s">
        <v>124</v>
      </c>
      <c r="C10" s="102" t="s">
        <v>148</v>
      </c>
    </row>
    <row r="11" spans="2:3" ht="15.75" x14ac:dyDescent="0.25">
      <c r="B11" s="103" t="s">
        <v>132</v>
      </c>
      <c r="C11" s="104" t="s">
        <v>149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F891-565B-4F3C-9EA7-EFC3C8D4C578}">
  <dimension ref="A1:AC43"/>
  <sheetViews>
    <sheetView topLeftCell="M9" workbookViewId="0">
      <selection activeCell="AC43" sqref="AC43"/>
    </sheetView>
  </sheetViews>
  <sheetFormatPr baseColWidth="10" defaultRowHeight="15" x14ac:dyDescent="0.25"/>
  <cols>
    <col min="2" max="2" width="41.5703125" customWidth="1"/>
    <col min="3" max="5" width="11.42578125" customWidth="1"/>
    <col min="6" max="6" width="12.5703125" customWidth="1"/>
    <col min="7" max="7" width="11.5703125" customWidth="1"/>
    <col min="8" max="9" width="11.42578125" customWidth="1"/>
    <col min="10" max="10" width="14.7109375" customWidth="1"/>
    <col min="11" max="16" width="11.42578125" customWidth="1"/>
    <col min="17" max="17" width="19.85546875" customWidth="1"/>
    <col min="18" max="20" width="11.42578125" customWidth="1"/>
    <col min="21" max="21" width="14.7109375" customWidth="1"/>
    <col min="22" max="22" width="15" customWidth="1"/>
    <col min="23" max="23" width="14.5703125" customWidth="1"/>
    <col min="24" max="26" width="11.42578125" customWidth="1"/>
    <col min="27" max="27" width="17.140625" customWidth="1"/>
  </cols>
  <sheetData>
    <row r="1" spans="1:29" ht="15.75" thickBot="1" x14ac:dyDescent="0.3"/>
    <row r="2" spans="1:29" ht="15.75" thickTop="1" x14ac:dyDescent="0.25">
      <c r="A2" s="6"/>
      <c r="B2" t="s">
        <v>131</v>
      </c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9"/>
      <c r="O2" s="10"/>
      <c r="P2" s="11"/>
      <c r="Q2" s="11"/>
      <c r="R2" s="11"/>
      <c r="S2" s="11"/>
      <c r="T2" s="11"/>
      <c r="U2" s="134">
        <f>500*U5</f>
        <v>2000</v>
      </c>
      <c r="V2" s="137">
        <f>700*V5</f>
        <v>2800</v>
      </c>
      <c r="W2" s="137">
        <f>1000*V5</f>
        <v>4000</v>
      </c>
      <c r="X2" s="10"/>
      <c r="Y2" s="10"/>
      <c r="Z2" s="10"/>
      <c r="AA2" s="10"/>
      <c r="AB2" s="12"/>
      <c r="AC2" s="11"/>
    </row>
    <row r="3" spans="1:29" x14ac:dyDescent="0.25">
      <c r="A3" s="6"/>
      <c r="B3" s="14"/>
      <c r="C3" s="7"/>
      <c r="D3" s="7"/>
      <c r="E3" s="7"/>
      <c r="F3" s="15" t="s">
        <v>154</v>
      </c>
      <c r="G3" s="16"/>
      <c r="H3" s="17"/>
      <c r="I3" s="16"/>
      <c r="J3" s="15"/>
      <c r="K3" s="8"/>
      <c r="L3" s="8"/>
      <c r="M3" s="8"/>
      <c r="N3" s="9"/>
      <c r="O3" s="10"/>
      <c r="P3" s="11"/>
      <c r="Q3" s="11"/>
      <c r="R3" s="11" t="s">
        <v>1</v>
      </c>
      <c r="S3" s="11"/>
      <c r="T3" s="11"/>
      <c r="U3" s="135"/>
      <c r="V3" s="138"/>
      <c r="W3" s="138"/>
      <c r="X3" s="10"/>
      <c r="Y3" s="10"/>
      <c r="Z3" s="10"/>
      <c r="AA3" s="10"/>
      <c r="AB3" s="12"/>
      <c r="AC3" s="76" t="s">
        <v>1</v>
      </c>
    </row>
    <row r="4" spans="1:29" ht="15.75" thickBot="1" x14ac:dyDescent="0.3">
      <c r="A4" s="18"/>
      <c r="B4" s="19"/>
      <c r="C4" s="20"/>
      <c r="D4" s="21"/>
      <c r="E4" s="10"/>
      <c r="F4" s="21"/>
      <c r="G4" s="21"/>
      <c r="H4" s="21"/>
      <c r="I4" s="10"/>
      <c r="J4" s="140"/>
      <c r="K4" s="140"/>
      <c r="L4" s="140"/>
      <c r="M4" s="140"/>
      <c r="N4" s="140"/>
      <c r="O4" s="140"/>
      <c r="P4" s="11"/>
      <c r="Q4" s="22">
        <v>160</v>
      </c>
      <c r="R4" s="22">
        <v>40</v>
      </c>
      <c r="S4" s="11"/>
      <c r="T4" s="11"/>
      <c r="U4" s="136"/>
      <c r="V4" s="139"/>
      <c r="W4" s="139"/>
      <c r="X4" s="10"/>
      <c r="Y4" s="10"/>
      <c r="Z4" s="10"/>
      <c r="AA4" s="10"/>
      <c r="AB4" s="10"/>
      <c r="AC4" s="23"/>
    </row>
    <row r="5" spans="1:29" ht="16.5" thickTop="1" thickBot="1" x14ac:dyDescent="0.3">
      <c r="A5" s="20"/>
      <c r="B5" s="19" t="s">
        <v>2</v>
      </c>
      <c r="C5" s="20"/>
      <c r="D5" s="21"/>
      <c r="E5" s="10"/>
      <c r="F5" s="21"/>
      <c r="G5" s="21"/>
      <c r="H5" s="21"/>
      <c r="I5" s="10"/>
      <c r="J5" s="10"/>
      <c r="K5" s="10"/>
      <c r="L5" s="10"/>
      <c r="M5" s="10"/>
      <c r="N5" s="10"/>
      <c r="O5" s="10"/>
      <c r="P5" s="24" t="s">
        <v>3</v>
      </c>
      <c r="Q5" s="25">
        <v>417.36</v>
      </c>
      <c r="R5" s="26">
        <v>417.36</v>
      </c>
      <c r="S5" s="11"/>
      <c r="T5" s="11"/>
      <c r="U5" s="27">
        <v>4</v>
      </c>
      <c r="V5" s="27">
        <v>4</v>
      </c>
      <c r="W5" s="10"/>
      <c r="X5" s="10"/>
      <c r="Y5" s="10"/>
      <c r="Z5" s="10"/>
      <c r="AA5" s="10"/>
      <c r="AB5" s="10"/>
      <c r="AC5" s="23"/>
    </row>
    <row r="6" spans="1:29" ht="45" x14ac:dyDescent="0.25">
      <c r="A6" s="159"/>
      <c r="B6" s="153" t="s">
        <v>4</v>
      </c>
      <c r="C6" s="153" t="s">
        <v>5</v>
      </c>
      <c r="D6" s="153" t="s">
        <v>6</v>
      </c>
      <c r="E6" s="161" t="s">
        <v>7</v>
      </c>
      <c r="F6" s="128" t="s">
        <v>8</v>
      </c>
      <c r="G6" s="129" t="s">
        <v>8</v>
      </c>
      <c r="H6" s="129" t="s">
        <v>9</v>
      </c>
      <c r="I6" s="153" t="s">
        <v>10</v>
      </c>
      <c r="J6" s="153" t="s">
        <v>11</v>
      </c>
      <c r="K6" s="128" t="s">
        <v>12</v>
      </c>
      <c r="L6" s="128" t="s">
        <v>13</v>
      </c>
      <c r="M6" s="128" t="s">
        <v>14</v>
      </c>
      <c r="N6" s="128" t="s">
        <v>15</v>
      </c>
      <c r="O6" s="153" t="s">
        <v>16</v>
      </c>
      <c r="P6" s="155" t="s">
        <v>17</v>
      </c>
      <c r="Q6" s="155" t="s">
        <v>18</v>
      </c>
      <c r="R6" s="155" t="s">
        <v>19</v>
      </c>
      <c r="S6" s="149" t="s">
        <v>20</v>
      </c>
      <c r="T6" s="150" t="s">
        <v>126</v>
      </c>
      <c r="U6" s="145" t="s">
        <v>21</v>
      </c>
      <c r="V6" s="145" t="s">
        <v>22</v>
      </c>
      <c r="W6" s="145" t="s">
        <v>23</v>
      </c>
      <c r="X6" s="3" t="s">
        <v>24</v>
      </c>
      <c r="Y6" s="3" t="s">
        <v>25</v>
      </c>
      <c r="Z6" s="3" t="s">
        <v>26</v>
      </c>
      <c r="AA6" s="3" t="s">
        <v>27</v>
      </c>
      <c r="AB6" s="143" t="s">
        <v>29</v>
      </c>
      <c r="AC6" s="1" t="s">
        <v>30</v>
      </c>
    </row>
    <row r="7" spans="1:29" ht="30" x14ac:dyDescent="0.25">
      <c r="A7" s="160"/>
      <c r="B7" s="154"/>
      <c r="C7" s="154"/>
      <c r="D7" s="154"/>
      <c r="E7" s="162"/>
      <c r="F7" s="130" t="s">
        <v>31</v>
      </c>
      <c r="G7" s="131" t="s">
        <v>32</v>
      </c>
      <c r="H7" s="131" t="s">
        <v>33</v>
      </c>
      <c r="I7" s="154"/>
      <c r="J7" s="154"/>
      <c r="K7" s="130" t="s">
        <v>34</v>
      </c>
      <c r="L7" s="130"/>
      <c r="M7" s="130" t="s">
        <v>35</v>
      </c>
      <c r="N7" s="130" t="s">
        <v>36</v>
      </c>
      <c r="O7" s="154"/>
      <c r="P7" s="156"/>
      <c r="Q7" s="156"/>
      <c r="R7" s="156"/>
      <c r="S7" s="150"/>
      <c r="T7" s="157"/>
      <c r="U7" s="158"/>
      <c r="V7" s="158"/>
      <c r="W7" s="158"/>
      <c r="X7" s="116" t="s">
        <v>37</v>
      </c>
      <c r="Y7" s="116" t="s">
        <v>37</v>
      </c>
      <c r="Z7" s="116"/>
      <c r="AA7" s="116"/>
      <c r="AB7" s="152"/>
      <c r="AC7" s="115" t="s">
        <v>38</v>
      </c>
    </row>
    <row r="8" spans="1:29" x14ac:dyDescent="0.25">
      <c r="A8" s="79">
        <v>1</v>
      </c>
      <c r="B8" s="110" t="s">
        <v>155</v>
      </c>
      <c r="C8" s="110" t="s">
        <v>46</v>
      </c>
      <c r="D8" s="110" t="s">
        <v>185</v>
      </c>
      <c r="E8" s="111">
        <v>500</v>
      </c>
      <c r="F8" s="111">
        <f>+E8/30</f>
        <v>16.666666666666668</v>
      </c>
      <c r="G8" s="111">
        <f>+F8/8</f>
        <v>2.0833333333333335</v>
      </c>
      <c r="H8" s="113">
        <f>+E8*12/52</f>
        <v>115.38461538461539</v>
      </c>
      <c r="I8" s="112">
        <v>43862</v>
      </c>
      <c r="J8" s="114">
        <v>8</v>
      </c>
      <c r="K8" s="111">
        <f>2.71*6</f>
        <v>16.259999999999998</v>
      </c>
      <c r="L8" s="111">
        <f>+F8*1.5*1</f>
        <v>25</v>
      </c>
      <c r="M8" s="111"/>
      <c r="N8" s="111">
        <v>0</v>
      </c>
      <c r="O8" s="111">
        <f>+F8*J8+K8+L8+M8+N8</f>
        <v>174.59333333333333</v>
      </c>
      <c r="P8" s="127">
        <f>+O8</f>
        <v>174.59333333333333</v>
      </c>
      <c r="Q8" s="111">
        <f>+Q4*Q$5</f>
        <v>66777.600000000006</v>
      </c>
      <c r="R8" s="111">
        <f>+R4*R$5</f>
        <v>16694.400000000001</v>
      </c>
      <c r="S8" s="109">
        <f>+P8+Q8+R8</f>
        <v>83646.593333333352</v>
      </c>
      <c r="T8" s="29">
        <v>160</v>
      </c>
      <c r="U8" s="105">
        <f>+E8*12/52*4%*4</f>
        <v>18.461538461538463</v>
      </c>
      <c r="V8" s="109">
        <f>+E8*12/52*0.5%*4</f>
        <v>2.3076923076923079</v>
      </c>
      <c r="W8" s="105">
        <f>+P8*1%</f>
        <v>1.7459333333333333</v>
      </c>
      <c r="X8" s="29"/>
      <c r="Y8" s="29"/>
      <c r="Z8" s="29"/>
      <c r="AA8" s="105">
        <v>0</v>
      </c>
      <c r="AB8" s="109">
        <f>+U8+V8+W8</f>
        <v>22.515164102564103</v>
      </c>
      <c r="AC8" s="109">
        <f>+O8-AA8-AB8</f>
        <v>152.07816923076922</v>
      </c>
    </row>
    <row r="9" spans="1:29" x14ac:dyDescent="0.25">
      <c r="A9" s="79">
        <v>2</v>
      </c>
      <c r="B9" s="79" t="s">
        <v>156</v>
      </c>
      <c r="C9" s="110" t="s">
        <v>80</v>
      </c>
      <c r="D9" s="110" t="s">
        <v>78</v>
      </c>
      <c r="E9" s="111">
        <v>1000</v>
      </c>
      <c r="F9" s="111">
        <f t="shared" ref="F9:F42" si="0">+E9/30</f>
        <v>33.333333333333336</v>
      </c>
      <c r="G9" s="111">
        <f t="shared" ref="G9:G42" si="1">+F9/8</f>
        <v>4.166666666666667</v>
      </c>
      <c r="H9" s="113">
        <f t="shared" ref="H9:H40" si="2">+E9*12/52</f>
        <v>230.76923076923077</v>
      </c>
      <c r="I9" s="112">
        <v>43862</v>
      </c>
      <c r="J9" s="114">
        <v>30</v>
      </c>
      <c r="K9" s="111">
        <f>5.42*20</f>
        <v>108.4</v>
      </c>
      <c r="L9" s="111">
        <f>+F9*1.5*4</f>
        <v>200</v>
      </c>
      <c r="M9" s="111"/>
      <c r="N9" s="111">
        <f>+F9*2</f>
        <v>66.666666666666671</v>
      </c>
      <c r="O9" s="111">
        <f t="shared" ref="O9:O39" si="3">+F9*J9+K9+L9+M9+N9</f>
        <v>1375.0666666666668</v>
      </c>
      <c r="P9" s="127">
        <f t="shared" ref="P9:P42" si="4">+O9</f>
        <v>1375.0666666666668</v>
      </c>
      <c r="Q9" s="111">
        <f>+Q4*Q5</f>
        <v>66777.600000000006</v>
      </c>
      <c r="R9" s="111">
        <f>+R4*R5</f>
        <v>16694.400000000001</v>
      </c>
      <c r="S9" s="109">
        <f t="shared" ref="S9:S40" si="5">+P9+Q9+R9</f>
        <v>84847.06666666668</v>
      </c>
      <c r="T9" s="29">
        <v>160</v>
      </c>
      <c r="U9" s="105">
        <f t="shared" ref="U9:U38" si="6">+E9*12/52*4%*4</f>
        <v>36.923076923076927</v>
      </c>
      <c r="V9" s="109">
        <f t="shared" ref="V9:V38" si="7">+E9*12/52*0.5%*4</f>
        <v>4.6153846153846159</v>
      </c>
      <c r="W9" s="105">
        <f>+P9*1%</f>
        <v>13.750666666666669</v>
      </c>
      <c r="X9" s="29"/>
      <c r="Y9" s="29"/>
      <c r="Z9" s="29"/>
      <c r="AA9" s="105">
        <v>0</v>
      </c>
      <c r="AB9" s="109">
        <f>+U9+V9+W9</f>
        <v>55.289128205128208</v>
      </c>
      <c r="AC9" s="109">
        <f>+O9-AB9-AA9</f>
        <v>1319.7775384615386</v>
      </c>
    </row>
    <row r="10" spans="1:29" x14ac:dyDescent="0.25">
      <c r="A10" s="79">
        <v>0</v>
      </c>
      <c r="B10" s="110" t="s">
        <v>157</v>
      </c>
      <c r="C10" s="110" t="s">
        <v>86</v>
      </c>
      <c r="D10" s="110" t="s">
        <v>53</v>
      </c>
      <c r="E10" s="111">
        <v>500</v>
      </c>
      <c r="F10" s="111">
        <f t="shared" si="0"/>
        <v>16.666666666666668</v>
      </c>
      <c r="G10" s="111">
        <f t="shared" si="1"/>
        <v>2.0833333333333335</v>
      </c>
      <c r="H10" s="113">
        <f t="shared" si="2"/>
        <v>115.38461538461539</v>
      </c>
      <c r="I10" s="112">
        <v>43862</v>
      </c>
      <c r="J10" s="114">
        <v>0</v>
      </c>
      <c r="K10" s="111">
        <v>0</v>
      </c>
      <c r="L10" s="111">
        <v>0</v>
      </c>
      <c r="M10" s="111"/>
      <c r="N10" s="111">
        <v>0</v>
      </c>
      <c r="O10" s="111">
        <f t="shared" si="3"/>
        <v>0</v>
      </c>
      <c r="P10" s="127">
        <f t="shared" si="4"/>
        <v>0</v>
      </c>
      <c r="Q10" s="111">
        <v>0</v>
      </c>
      <c r="R10" s="111">
        <v>0</v>
      </c>
      <c r="S10" s="109">
        <f t="shared" si="5"/>
        <v>0</v>
      </c>
      <c r="T10" s="29">
        <v>0</v>
      </c>
      <c r="U10" s="105">
        <v>0</v>
      </c>
      <c r="V10" s="109">
        <v>0</v>
      </c>
      <c r="W10" s="105">
        <f>+P10*1%</f>
        <v>0</v>
      </c>
      <c r="X10" s="29"/>
      <c r="Y10" s="29"/>
      <c r="Z10" s="29"/>
      <c r="AA10" s="105">
        <v>0</v>
      </c>
      <c r="AB10" s="109">
        <f t="shared" ref="AB10:AB40" si="8">+U10+V10+W10</f>
        <v>0</v>
      </c>
      <c r="AC10" s="109">
        <f t="shared" ref="AC10:AC40" si="9">+O10-AB10-AA10</f>
        <v>0</v>
      </c>
    </row>
    <row r="11" spans="1:29" x14ac:dyDescent="0.25">
      <c r="A11" s="79">
        <v>5</v>
      </c>
      <c r="B11" s="110" t="s">
        <v>158</v>
      </c>
      <c r="C11" s="110" t="s">
        <v>43</v>
      </c>
      <c r="D11" s="110" t="s">
        <v>186</v>
      </c>
      <c r="E11" s="111">
        <v>500</v>
      </c>
      <c r="F11" s="111">
        <f t="shared" si="0"/>
        <v>16.666666666666668</v>
      </c>
      <c r="G11" s="111">
        <f t="shared" si="1"/>
        <v>2.0833333333333335</v>
      </c>
      <c r="H11" s="113">
        <f t="shared" si="2"/>
        <v>115.38461538461539</v>
      </c>
      <c r="I11" s="112">
        <v>44333</v>
      </c>
      <c r="J11" s="114">
        <v>30</v>
      </c>
      <c r="K11" s="111">
        <v>0</v>
      </c>
      <c r="L11" s="111">
        <v>0</v>
      </c>
      <c r="M11" s="111"/>
      <c r="N11" s="111">
        <f>+F11*2</f>
        <v>33.333333333333336</v>
      </c>
      <c r="O11" s="111">
        <f t="shared" si="3"/>
        <v>533.33333333333337</v>
      </c>
      <c r="P11" s="127">
        <f t="shared" si="4"/>
        <v>533.33333333333337</v>
      </c>
      <c r="Q11" s="111">
        <f>+Q4*Q5</f>
        <v>66777.600000000006</v>
      </c>
      <c r="R11" s="111">
        <f>+R4*R5</f>
        <v>16694.400000000001</v>
      </c>
      <c r="S11" s="109">
        <f t="shared" si="5"/>
        <v>84005.333333333343</v>
      </c>
      <c r="T11" s="29">
        <v>160</v>
      </c>
      <c r="U11" s="105">
        <f t="shared" si="6"/>
        <v>18.461538461538463</v>
      </c>
      <c r="V11" s="109">
        <f t="shared" si="7"/>
        <v>2.3076923076923079</v>
      </c>
      <c r="W11" s="105">
        <f t="shared" ref="W11:W38" si="10">+P11*1%</f>
        <v>5.3333333333333339</v>
      </c>
      <c r="X11" s="29"/>
      <c r="Y11" s="29"/>
      <c r="Z11" s="29"/>
      <c r="AA11" s="105">
        <v>0</v>
      </c>
      <c r="AB11" s="109">
        <f t="shared" si="8"/>
        <v>26.102564102564102</v>
      </c>
      <c r="AC11" s="109">
        <f t="shared" si="9"/>
        <v>507.23076923076928</v>
      </c>
    </row>
    <row r="12" spans="1:29" x14ac:dyDescent="0.25">
      <c r="A12" s="79">
        <v>6</v>
      </c>
      <c r="B12" s="79" t="s">
        <v>159</v>
      </c>
      <c r="C12" s="110" t="s">
        <v>61</v>
      </c>
      <c r="D12" s="110" t="s">
        <v>62</v>
      </c>
      <c r="E12" s="111">
        <v>500</v>
      </c>
      <c r="F12" s="111">
        <f t="shared" si="0"/>
        <v>16.666666666666668</v>
      </c>
      <c r="G12" s="111">
        <f t="shared" si="1"/>
        <v>2.0833333333333335</v>
      </c>
      <c r="H12" s="113">
        <f t="shared" si="2"/>
        <v>115.38461538461539</v>
      </c>
      <c r="I12" s="112">
        <v>44604</v>
      </c>
      <c r="J12" s="114">
        <v>27</v>
      </c>
      <c r="K12" s="111">
        <v>0</v>
      </c>
      <c r="L12" s="111">
        <f>+F12*1.5*3</f>
        <v>75</v>
      </c>
      <c r="M12" s="111"/>
      <c r="N12" s="111">
        <f>+F12</f>
        <v>16.666666666666668</v>
      </c>
      <c r="O12" s="111">
        <f>+F12*J12+K12+L12+M12+N12</f>
        <v>541.66666666666663</v>
      </c>
      <c r="P12" s="127">
        <f t="shared" si="4"/>
        <v>541.66666666666663</v>
      </c>
      <c r="Q12" s="111">
        <f>+Q4*Q5</f>
        <v>66777.600000000006</v>
      </c>
      <c r="R12" s="111">
        <f>+R4*R5</f>
        <v>16694.400000000001</v>
      </c>
      <c r="S12" s="109">
        <f t="shared" si="5"/>
        <v>84013.666666666686</v>
      </c>
      <c r="T12" s="29">
        <v>160</v>
      </c>
      <c r="U12" s="105">
        <f t="shared" si="6"/>
        <v>18.461538461538463</v>
      </c>
      <c r="V12" s="109">
        <f t="shared" si="7"/>
        <v>2.3076923076923079</v>
      </c>
      <c r="W12" s="105">
        <f t="shared" si="10"/>
        <v>5.4166666666666661</v>
      </c>
      <c r="X12" s="29"/>
      <c r="Y12" s="29"/>
      <c r="Z12" s="29"/>
      <c r="AA12" s="105">
        <v>0</v>
      </c>
      <c r="AB12" s="109">
        <f t="shared" si="8"/>
        <v>26.185897435897438</v>
      </c>
      <c r="AC12" s="109">
        <f t="shared" si="9"/>
        <v>515.48076923076917</v>
      </c>
    </row>
    <row r="13" spans="1:29" x14ac:dyDescent="0.25">
      <c r="A13" s="79">
        <v>7</v>
      </c>
      <c r="B13" s="110" t="s">
        <v>160</v>
      </c>
      <c r="C13" s="110" t="s">
        <v>49</v>
      </c>
      <c r="D13" s="110" t="s">
        <v>187</v>
      </c>
      <c r="E13" s="111">
        <v>500</v>
      </c>
      <c r="F13" s="111">
        <f t="shared" si="0"/>
        <v>16.666666666666668</v>
      </c>
      <c r="G13" s="111">
        <f t="shared" si="1"/>
        <v>2.0833333333333335</v>
      </c>
      <c r="H13" s="113">
        <f t="shared" si="2"/>
        <v>115.38461538461539</v>
      </c>
      <c r="I13" s="112">
        <v>44606</v>
      </c>
      <c r="J13" s="114">
        <v>17</v>
      </c>
      <c r="K13" s="111">
        <v>0</v>
      </c>
      <c r="L13" s="111">
        <v>0</v>
      </c>
      <c r="M13" s="111"/>
      <c r="N13" s="111">
        <f>+F13*2</f>
        <v>33.333333333333336</v>
      </c>
      <c r="O13" s="111">
        <f t="shared" si="3"/>
        <v>316.66666666666669</v>
      </c>
      <c r="P13" s="127">
        <f t="shared" si="4"/>
        <v>316.66666666666669</v>
      </c>
      <c r="Q13" s="111">
        <f>+Q4*Q5</f>
        <v>66777.600000000006</v>
      </c>
      <c r="R13" s="111">
        <f>+R4*R5</f>
        <v>16694.400000000001</v>
      </c>
      <c r="S13" s="109">
        <f t="shared" si="5"/>
        <v>83788.666666666686</v>
      </c>
      <c r="T13" s="29">
        <v>160</v>
      </c>
      <c r="U13" s="105">
        <f t="shared" si="6"/>
        <v>18.461538461538463</v>
      </c>
      <c r="V13" s="109">
        <f t="shared" si="7"/>
        <v>2.3076923076923079</v>
      </c>
      <c r="W13" s="105">
        <f t="shared" si="10"/>
        <v>3.166666666666667</v>
      </c>
      <c r="X13" s="29"/>
      <c r="Y13" s="29"/>
      <c r="Z13" s="29"/>
      <c r="AA13" s="105">
        <v>0</v>
      </c>
      <c r="AB13" s="109">
        <f t="shared" si="8"/>
        <v>23.935897435897438</v>
      </c>
      <c r="AC13" s="109">
        <f t="shared" si="9"/>
        <v>292.73076923076923</v>
      </c>
    </row>
    <row r="14" spans="1:29" x14ac:dyDescent="0.25">
      <c r="A14" s="79">
        <v>8</v>
      </c>
      <c r="B14" s="110" t="s">
        <v>161</v>
      </c>
      <c r="C14" s="110" t="s">
        <v>52</v>
      </c>
      <c r="D14" s="110" t="s">
        <v>53</v>
      </c>
      <c r="E14" s="111">
        <v>500</v>
      </c>
      <c r="F14" s="111">
        <f t="shared" si="0"/>
        <v>16.666666666666668</v>
      </c>
      <c r="G14" s="111">
        <f t="shared" si="1"/>
        <v>2.0833333333333335</v>
      </c>
      <c r="H14" s="113">
        <f t="shared" si="2"/>
        <v>115.38461538461539</v>
      </c>
      <c r="I14" s="112">
        <v>44746</v>
      </c>
      <c r="J14" s="114">
        <v>30</v>
      </c>
      <c r="K14" s="111">
        <v>0</v>
      </c>
      <c r="L14" s="111">
        <v>0</v>
      </c>
      <c r="M14" s="111"/>
      <c r="N14" s="111">
        <f>+F14*2</f>
        <v>33.333333333333336</v>
      </c>
      <c r="O14" s="111">
        <f t="shared" si="3"/>
        <v>533.33333333333337</v>
      </c>
      <c r="P14" s="127">
        <f t="shared" si="4"/>
        <v>533.33333333333337</v>
      </c>
      <c r="Q14" s="111">
        <f>+Q4*Q5</f>
        <v>66777.600000000006</v>
      </c>
      <c r="R14" s="111">
        <f>+R4*R5</f>
        <v>16694.400000000001</v>
      </c>
      <c r="S14" s="109">
        <f t="shared" si="5"/>
        <v>84005.333333333343</v>
      </c>
      <c r="T14" s="29">
        <v>160</v>
      </c>
      <c r="U14" s="105">
        <f t="shared" si="6"/>
        <v>18.461538461538463</v>
      </c>
      <c r="V14" s="109">
        <f t="shared" si="7"/>
        <v>2.3076923076923079</v>
      </c>
      <c r="W14" s="105">
        <f t="shared" si="10"/>
        <v>5.3333333333333339</v>
      </c>
      <c r="X14" s="29"/>
      <c r="Y14" s="29"/>
      <c r="Z14" s="29"/>
      <c r="AA14" s="105">
        <v>0</v>
      </c>
      <c r="AB14" s="109">
        <f t="shared" si="8"/>
        <v>26.102564102564102</v>
      </c>
      <c r="AC14" s="109">
        <f t="shared" si="9"/>
        <v>507.23076923076928</v>
      </c>
    </row>
    <row r="15" spans="1:29" x14ac:dyDescent="0.25">
      <c r="A15" s="79">
        <v>9</v>
      </c>
      <c r="B15" s="79" t="s">
        <v>162</v>
      </c>
      <c r="C15" s="110" t="s">
        <v>91</v>
      </c>
      <c r="D15" s="110" t="s">
        <v>188</v>
      </c>
      <c r="E15" s="111">
        <v>700</v>
      </c>
      <c r="F15" s="111">
        <f t="shared" si="0"/>
        <v>23.333333333333332</v>
      </c>
      <c r="G15" s="111">
        <f t="shared" si="1"/>
        <v>2.9166666666666665</v>
      </c>
      <c r="H15" s="113">
        <f t="shared" si="2"/>
        <v>161.53846153846155</v>
      </c>
      <c r="I15" s="112">
        <v>44868</v>
      </c>
      <c r="J15" s="114">
        <v>30</v>
      </c>
      <c r="K15" s="111">
        <v>0</v>
      </c>
      <c r="L15" s="111">
        <v>0</v>
      </c>
      <c r="M15" s="111"/>
      <c r="N15" s="111">
        <f>+F15*2</f>
        <v>46.666666666666664</v>
      </c>
      <c r="O15" s="111">
        <f t="shared" si="3"/>
        <v>746.66666666666663</v>
      </c>
      <c r="P15" s="127">
        <f t="shared" si="4"/>
        <v>746.66666666666663</v>
      </c>
      <c r="Q15" s="111">
        <f>+Q4*Q5</f>
        <v>66777.600000000006</v>
      </c>
      <c r="R15" s="111">
        <f>+R4*R5</f>
        <v>16694.400000000001</v>
      </c>
      <c r="S15" s="109">
        <f t="shared" si="5"/>
        <v>84218.666666666686</v>
      </c>
      <c r="T15" s="29">
        <v>160</v>
      </c>
      <c r="U15" s="105">
        <f t="shared" si="6"/>
        <v>25.846153846153847</v>
      </c>
      <c r="V15" s="109">
        <f t="shared" si="7"/>
        <v>3.2307692307692308</v>
      </c>
      <c r="W15" s="105">
        <f t="shared" si="10"/>
        <v>7.4666666666666668</v>
      </c>
      <c r="X15" s="29"/>
      <c r="Y15" s="29"/>
      <c r="Z15" s="29"/>
      <c r="AA15" s="105">
        <v>0</v>
      </c>
      <c r="AB15" s="109">
        <f t="shared" si="8"/>
        <v>36.543589743589742</v>
      </c>
      <c r="AC15" s="109">
        <f t="shared" si="9"/>
        <v>710.12307692307684</v>
      </c>
    </row>
    <row r="16" spans="1:29" x14ac:dyDescent="0.25">
      <c r="A16" s="79">
        <v>10</v>
      </c>
      <c r="B16" s="79" t="s">
        <v>163</v>
      </c>
      <c r="C16" s="110" t="s">
        <v>97</v>
      </c>
      <c r="D16" s="110" t="s">
        <v>62</v>
      </c>
      <c r="E16" s="111">
        <v>500</v>
      </c>
      <c r="F16" s="111">
        <f t="shared" si="0"/>
        <v>16.666666666666668</v>
      </c>
      <c r="G16" s="111">
        <f t="shared" si="1"/>
        <v>2.0833333333333335</v>
      </c>
      <c r="H16" s="113">
        <f t="shared" si="2"/>
        <v>115.38461538461539</v>
      </c>
      <c r="I16" s="112">
        <v>45131</v>
      </c>
      <c r="J16" s="114">
        <v>30</v>
      </c>
      <c r="K16" s="111">
        <v>0</v>
      </c>
      <c r="L16" s="111">
        <v>0</v>
      </c>
      <c r="M16" s="111"/>
      <c r="N16" s="111">
        <f>+F16</f>
        <v>16.666666666666668</v>
      </c>
      <c r="O16" s="111">
        <f t="shared" si="3"/>
        <v>516.66666666666674</v>
      </c>
      <c r="P16" s="127">
        <f t="shared" si="4"/>
        <v>516.66666666666674</v>
      </c>
      <c r="Q16" s="111">
        <f>+Q4*Q5</f>
        <v>66777.600000000006</v>
      </c>
      <c r="R16" s="111">
        <f>+R4*R5</f>
        <v>16694.400000000001</v>
      </c>
      <c r="S16" s="109">
        <f t="shared" si="5"/>
        <v>83988.666666666686</v>
      </c>
      <c r="T16" s="29">
        <v>160</v>
      </c>
      <c r="U16" s="105">
        <f t="shared" si="6"/>
        <v>18.461538461538463</v>
      </c>
      <c r="V16" s="109">
        <f t="shared" si="7"/>
        <v>2.3076923076923079</v>
      </c>
      <c r="W16" s="105">
        <f t="shared" si="10"/>
        <v>5.1666666666666679</v>
      </c>
      <c r="X16" s="29"/>
      <c r="Y16" s="29"/>
      <c r="Z16" s="29"/>
      <c r="AA16" s="105">
        <v>0</v>
      </c>
      <c r="AB16" s="109">
        <f t="shared" si="8"/>
        <v>25.935897435897438</v>
      </c>
      <c r="AC16" s="109">
        <f t="shared" si="9"/>
        <v>490.73076923076928</v>
      </c>
    </row>
    <row r="17" spans="1:29" x14ac:dyDescent="0.25">
      <c r="A17" s="79">
        <v>11</v>
      </c>
      <c r="B17" s="110" t="s">
        <v>165</v>
      </c>
      <c r="C17" s="110" t="s">
        <v>164</v>
      </c>
      <c r="D17" s="110" t="s">
        <v>65</v>
      </c>
      <c r="E17" s="111">
        <v>700</v>
      </c>
      <c r="F17" s="111">
        <f t="shared" si="0"/>
        <v>23.333333333333332</v>
      </c>
      <c r="G17" s="111">
        <f t="shared" si="1"/>
        <v>2.9166666666666665</v>
      </c>
      <c r="H17" s="113">
        <f t="shared" si="2"/>
        <v>161.53846153846155</v>
      </c>
      <c r="I17" s="112">
        <v>45135</v>
      </c>
      <c r="J17" s="114">
        <v>30</v>
      </c>
      <c r="K17" s="111">
        <v>0</v>
      </c>
      <c r="L17" s="111">
        <v>0</v>
      </c>
      <c r="M17" s="111"/>
      <c r="N17" s="111">
        <f>+F17*2</f>
        <v>46.666666666666664</v>
      </c>
      <c r="O17" s="111">
        <f t="shared" si="3"/>
        <v>746.66666666666663</v>
      </c>
      <c r="P17" s="127">
        <f t="shared" si="4"/>
        <v>746.66666666666663</v>
      </c>
      <c r="Q17" s="111">
        <f>+Q4*Q5</f>
        <v>66777.600000000006</v>
      </c>
      <c r="R17" s="111">
        <f>+R4*R5</f>
        <v>16694.400000000001</v>
      </c>
      <c r="S17" s="109">
        <f t="shared" si="5"/>
        <v>84218.666666666686</v>
      </c>
      <c r="T17" s="29">
        <v>160</v>
      </c>
      <c r="U17" s="105">
        <f t="shared" si="6"/>
        <v>25.846153846153847</v>
      </c>
      <c r="V17" s="109">
        <f t="shared" si="7"/>
        <v>3.2307692307692308</v>
      </c>
      <c r="W17" s="105">
        <f t="shared" si="10"/>
        <v>7.4666666666666668</v>
      </c>
      <c r="X17" s="29"/>
      <c r="Y17" s="29"/>
      <c r="Z17" s="29"/>
      <c r="AA17" s="105">
        <v>0</v>
      </c>
      <c r="AB17" s="109">
        <f t="shared" si="8"/>
        <v>36.543589743589742</v>
      </c>
      <c r="AC17" s="109">
        <f t="shared" si="9"/>
        <v>710.12307692307684</v>
      </c>
    </row>
    <row r="18" spans="1:29" x14ac:dyDescent="0.25">
      <c r="A18" s="79">
        <v>12</v>
      </c>
      <c r="B18" s="110" t="s">
        <v>166</v>
      </c>
      <c r="C18" s="110" t="s">
        <v>93</v>
      </c>
      <c r="D18" s="110" t="s">
        <v>189</v>
      </c>
      <c r="E18" s="111">
        <v>500</v>
      </c>
      <c r="F18" s="111">
        <f t="shared" si="0"/>
        <v>16.666666666666668</v>
      </c>
      <c r="G18" s="111">
        <f t="shared" si="1"/>
        <v>2.0833333333333335</v>
      </c>
      <c r="H18" s="113">
        <f t="shared" si="2"/>
        <v>115.38461538461539</v>
      </c>
      <c r="I18" s="112">
        <v>45217</v>
      </c>
      <c r="J18" s="114">
        <v>30</v>
      </c>
      <c r="K18" s="111">
        <v>0</v>
      </c>
      <c r="L18" s="111">
        <v>0</v>
      </c>
      <c r="M18" s="111"/>
      <c r="N18" s="111">
        <f>+F18*2</f>
        <v>33.333333333333336</v>
      </c>
      <c r="O18" s="111">
        <f t="shared" si="3"/>
        <v>533.33333333333337</v>
      </c>
      <c r="P18" s="127">
        <f t="shared" si="4"/>
        <v>533.33333333333337</v>
      </c>
      <c r="Q18" s="111">
        <f>+Q4*Q5</f>
        <v>66777.600000000006</v>
      </c>
      <c r="R18" s="111">
        <f>+R4*R5</f>
        <v>16694.400000000001</v>
      </c>
      <c r="S18" s="109">
        <f t="shared" si="5"/>
        <v>84005.333333333343</v>
      </c>
      <c r="T18" s="29">
        <v>160</v>
      </c>
      <c r="U18" s="105">
        <f t="shared" si="6"/>
        <v>18.461538461538463</v>
      </c>
      <c r="V18" s="109">
        <f t="shared" si="7"/>
        <v>2.3076923076923079</v>
      </c>
      <c r="W18" s="105">
        <f t="shared" si="10"/>
        <v>5.3333333333333339</v>
      </c>
      <c r="X18" s="29"/>
      <c r="Y18" s="29"/>
      <c r="Z18" s="29"/>
      <c r="AA18" s="105">
        <v>0</v>
      </c>
      <c r="AB18" s="109">
        <f t="shared" si="8"/>
        <v>26.102564102564102</v>
      </c>
      <c r="AC18" s="109">
        <f t="shared" si="9"/>
        <v>507.23076923076928</v>
      </c>
    </row>
    <row r="19" spans="1:29" x14ac:dyDescent="0.25">
      <c r="A19" s="79">
        <v>13</v>
      </c>
      <c r="B19" s="110" t="s">
        <v>132</v>
      </c>
      <c r="C19" s="110" t="s">
        <v>133</v>
      </c>
      <c r="D19" s="110" t="s">
        <v>89</v>
      </c>
      <c r="E19" s="111">
        <v>500</v>
      </c>
      <c r="F19" s="111">
        <f t="shared" si="0"/>
        <v>16.666666666666668</v>
      </c>
      <c r="G19" s="111">
        <f t="shared" si="1"/>
        <v>2.0833333333333335</v>
      </c>
      <c r="H19" s="113">
        <f t="shared" si="2"/>
        <v>115.38461538461539</v>
      </c>
      <c r="I19" s="112">
        <v>45936</v>
      </c>
      <c r="J19" s="114">
        <v>30</v>
      </c>
      <c r="K19" s="111">
        <v>0</v>
      </c>
      <c r="L19" s="111">
        <f>+F19*1.5*4</f>
        <v>100</v>
      </c>
      <c r="M19" s="111"/>
      <c r="N19" s="111">
        <f>+F19</f>
        <v>16.666666666666668</v>
      </c>
      <c r="O19" s="111">
        <f t="shared" si="3"/>
        <v>616.66666666666663</v>
      </c>
      <c r="P19" s="127">
        <f t="shared" si="4"/>
        <v>616.66666666666663</v>
      </c>
      <c r="Q19" s="111">
        <f>+Q4*Q5</f>
        <v>66777.600000000006</v>
      </c>
      <c r="R19" s="111">
        <f>+R$4*R$5</f>
        <v>16694.400000000001</v>
      </c>
      <c r="S19" s="109">
        <f t="shared" si="5"/>
        <v>84088.666666666686</v>
      </c>
      <c r="T19" s="29">
        <v>160</v>
      </c>
      <c r="U19" s="105">
        <f t="shared" si="6"/>
        <v>18.461538461538463</v>
      </c>
      <c r="V19" s="109">
        <f t="shared" si="7"/>
        <v>2.3076923076923079</v>
      </c>
      <c r="W19" s="105">
        <f t="shared" si="10"/>
        <v>6.1666666666666661</v>
      </c>
      <c r="X19" s="29"/>
      <c r="Y19" s="29"/>
      <c r="Z19" s="29"/>
      <c r="AA19" s="105">
        <v>0</v>
      </c>
      <c r="AB19" s="109">
        <f t="shared" si="8"/>
        <v>26.935897435897438</v>
      </c>
      <c r="AC19" s="109">
        <f t="shared" si="9"/>
        <v>589.73076923076917</v>
      </c>
    </row>
    <row r="20" spans="1:29" x14ac:dyDescent="0.25">
      <c r="A20" s="79">
        <v>14</v>
      </c>
      <c r="B20" s="110" t="s">
        <v>167</v>
      </c>
      <c r="C20" s="110" t="s">
        <v>69</v>
      </c>
      <c r="D20" s="110" t="s">
        <v>70</v>
      </c>
      <c r="E20" s="111">
        <v>500</v>
      </c>
      <c r="F20" s="111">
        <f t="shared" si="0"/>
        <v>16.666666666666668</v>
      </c>
      <c r="G20" s="111">
        <f t="shared" si="1"/>
        <v>2.0833333333333335</v>
      </c>
      <c r="H20" s="113">
        <f t="shared" si="2"/>
        <v>115.38461538461539</v>
      </c>
      <c r="I20" s="112">
        <v>45329</v>
      </c>
      <c r="J20" s="114">
        <v>10</v>
      </c>
      <c r="K20" s="111">
        <f>2.71*9</f>
        <v>24.39</v>
      </c>
      <c r="L20" s="111">
        <f>+F20*1.5*1</f>
        <v>25</v>
      </c>
      <c r="M20" s="111"/>
      <c r="N20" s="111">
        <v>0</v>
      </c>
      <c r="O20" s="111">
        <f t="shared" si="3"/>
        <v>216.05666666666667</v>
      </c>
      <c r="P20" s="127">
        <f t="shared" si="4"/>
        <v>216.05666666666667</v>
      </c>
      <c r="Q20" s="111">
        <f>+Q4*Q5</f>
        <v>66777.600000000006</v>
      </c>
      <c r="R20" s="111">
        <f t="shared" ref="R20:R42" si="11">+R$4*R$5</f>
        <v>16694.400000000001</v>
      </c>
      <c r="S20" s="109">
        <f t="shared" si="5"/>
        <v>83688.056666666671</v>
      </c>
      <c r="T20" s="29">
        <v>160</v>
      </c>
      <c r="U20" s="105">
        <f t="shared" si="6"/>
        <v>18.461538461538463</v>
      </c>
      <c r="V20" s="109">
        <f t="shared" si="7"/>
        <v>2.3076923076923079</v>
      </c>
      <c r="W20" s="105">
        <v>1.94</v>
      </c>
      <c r="X20" s="29"/>
      <c r="Y20" s="29"/>
      <c r="Z20" s="29"/>
      <c r="AA20" s="105">
        <v>0</v>
      </c>
      <c r="AB20" s="109">
        <f t="shared" si="8"/>
        <v>22.709230769230771</v>
      </c>
      <c r="AC20" s="109">
        <f t="shared" si="9"/>
        <v>193.3474358974359</v>
      </c>
    </row>
    <row r="21" spans="1:29" x14ac:dyDescent="0.25">
      <c r="A21" s="79">
        <v>15</v>
      </c>
      <c r="B21" s="79" t="s">
        <v>168</v>
      </c>
      <c r="C21" s="110" t="s">
        <v>103</v>
      </c>
      <c r="D21" s="110" t="s">
        <v>190</v>
      </c>
      <c r="E21" s="111">
        <v>1000</v>
      </c>
      <c r="F21" s="111">
        <f t="shared" si="0"/>
        <v>33.333333333333336</v>
      </c>
      <c r="G21" s="111">
        <f t="shared" si="1"/>
        <v>4.166666666666667</v>
      </c>
      <c r="H21" s="113">
        <f t="shared" si="2"/>
        <v>230.76923076923077</v>
      </c>
      <c r="I21" s="112">
        <v>45336</v>
      </c>
      <c r="J21" s="114">
        <v>18</v>
      </c>
      <c r="K21" s="111">
        <v>0</v>
      </c>
      <c r="L21" s="111">
        <f>+F21*1.5*3</f>
        <v>150</v>
      </c>
      <c r="M21" s="111"/>
      <c r="N21" s="111">
        <f>+F21*2</f>
        <v>66.666666666666671</v>
      </c>
      <c r="O21" s="111">
        <f t="shared" si="3"/>
        <v>816.66666666666663</v>
      </c>
      <c r="P21" s="127">
        <f t="shared" si="4"/>
        <v>816.66666666666663</v>
      </c>
      <c r="Q21" s="111">
        <f>+Q4*Q5</f>
        <v>66777.600000000006</v>
      </c>
      <c r="R21" s="111">
        <f t="shared" si="11"/>
        <v>16694.400000000001</v>
      </c>
      <c r="S21" s="109">
        <f t="shared" si="5"/>
        <v>84288.666666666686</v>
      </c>
      <c r="T21" s="29">
        <v>160</v>
      </c>
      <c r="U21" s="105">
        <f t="shared" si="6"/>
        <v>36.923076923076927</v>
      </c>
      <c r="V21" s="109">
        <f t="shared" si="7"/>
        <v>4.6153846153846159</v>
      </c>
      <c r="W21" s="105">
        <f t="shared" si="10"/>
        <v>8.1666666666666661</v>
      </c>
      <c r="X21" s="29"/>
      <c r="Y21" s="29"/>
      <c r="Z21" s="29"/>
      <c r="AA21" s="105">
        <v>0</v>
      </c>
      <c r="AB21" s="109">
        <f t="shared" si="8"/>
        <v>49.705128205128204</v>
      </c>
      <c r="AC21" s="109">
        <f t="shared" si="9"/>
        <v>766.96153846153845</v>
      </c>
    </row>
    <row r="22" spans="1:29" x14ac:dyDescent="0.25">
      <c r="A22" s="79">
        <v>16</v>
      </c>
      <c r="B22" s="79" t="s">
        <v>169</v>
      </c>
      <c r="C22" s="110" t="s">
        <v>84</v>
      </c>
      <c r="D22" s="110" t="s">
        <v>70</v>
      </c>
      <c r="E22" s="111">
        <v>500</v>
      </c>
      <c r="F22" s="111">
        <f t="shared" si="0"/>
        <v>16.666666666666668</v>
      </c>
      <c r="G22" s="111">
        <f t="shared" si="1"/>
        <v>2.0833333333333335</v>
      </c>
      <c r="H22" s="113">
        <f t="shared" si="2"/>
        <v>115.38461538461539</v>
      </c>
      <c r="I22" s="112">
        <v>45356</v>
      </c>
      <c r="J22" s="114">
        <v>30</v>
      </c>
      <c r="K22" s="111">
        <f>2.71*20</f>
        <v>54.2</v>
      </c>
      <c r="L22" s="111">
        <f>+F22*1.5*4</f>
        <v>100</v>
      </c>
      <c r="M22" s="111"/>
      <c r="N22" s="111">
        <f>+F22</f>
        <v>16.666666666666668</v>
      </c>
      <c r="O22" s="111">
        <f t="shared" si="3"/>
        <v>670.86666666666667</v>
      </c>
      <c r="P22" s="127">
        <f t="shared" si="4"/>
        <v>670.86666666666667</v>
      </c>
      <c r="Q22" s="111">
        <f>+Q4*Q5</f>
        <v>66777.600000000006</v>
      </c>
      <c r="R22" s="111">
        <f t="shared" si="11"/>
        <v>16694.400000000001</v>
      </c>
      <c r="S22" s="109">
        <f t="shared" si="5"/>
        <v>84142.866666666669</v>
      </c>
      <c r="T22" s="29">
        <v>160</v>
      </c>
      <c r="U22" s="105">
        <f t="shared" si="6"/>
        <v>18.461538461538463</v>
      </c>
      <c r="V22" s="109">
        <f t="shared" si="7"/>
        <v>2.3076923076923079</v>
      </c>
      <c r="W22" s="105">
        <f t="shared" si="10"/>
        <v>6.7086666666666668</v>
      </c>
      <c r="X22" s="29"/>
      <c r="Y22" s="29"/>
      <c r="Z22" s="29"/>
      <c r="AA22" s="105">
        <v>0</v>
      </c>
      <c r="AB22" s="109">
        <f t="shared" si="8"/>
        <v>27.477897435897436</v>
      </c>
      <c r="AC22" s="109">
        <f t="shared" si="9"/>
        <v>643.38876923076919</v>
      </c>
    </row>
    <row r="23" spans="1:29" x14ac:dyDescent="0.25">
      <c r="A23" s="79">
        <v>17</v>
      </c>
      <c r="B23" s="110" t="s">
        <v>170</v>
      </c>
      <c r="C23" s="110" t="s">
        <v>75</v>
      </c>
      <c r="D23" s="110" t="s">
        <v>70</v>
      </c>
      <c r="E23" s="111">
        <v>500</v>
      </c>
      <c r="F23" s="111">
        <f t="shared" si="0"/>
        <v>16.666666666666668</v>
      </c>
      <c r="G23" s="111">
        <f t="shared" si="1"/>
        <v>2.0833333333333335</v>
      </c>
      <c r="H23" s="113">
        <f t="shared" si="2"/>
        <v>115.38461538461539</v>
      </c>
      <c r="I23" s="112">
        <v>45392</v>
      </c>
      <c r="J23" s="114">
        <v>29</v>
      </c>
      <c r="K23" s="111">
        <v>0</v>
      </c>
      <c r="L23" s="111">
        <f>+F23*1.5*4</f>
        <v>100</v>
      </c>
      <c r="M23" s="111"/>
      <c r="N23" s="111">
        <f>+F23*1</f>
        <v>16.666666666666668</v>
      </c>
      <c r="O23" s="111">
        <f t="shared" si="3"/>
        <v>600</v>
      </c>
      <c r="P23" s="127">
        <f t="shared" si="4"/>
        <v>600</v>
      </c>
      <c r="Q23" s="111">
        <f>+Q4*Q5</f>
        <v>66777.600000000006</v>
      </c>
      <c r="R23" s="111">
        <f t="shared" si="11"/>
        <v>16694.400000000001</v>
      </c>
      <c r="S23" s="109">
        <f t="shared" si="5"/>
        <v>84072</v>
      </c>
      <c r="T23" s="29">
        <v>160</v>
      </c>
      <c r="U23" s="105">
        <f t="shared" si="6"/>
        <v>18.461538461538463</v>
      </c>
      <c r="V23" s="109">
        <f t="shared" si="7"/>
        <v>2.3076923076923079</v>
      </c>
      <c r="W23" s="105">
        <f t="shared" si="10"/>
        <v>6</v>
      </c>
      <c r="X23" s="29"/>
      <c r="Y23" s="29"/>
      <c r="Z23" s="29"/>
      <c r="AA23" s="105">
        <v>0</v>
      </c>
      <c r="AB23" s="109">
        <f t="shared" si="8"/>
        <v>26.76923076923077</v>
      </c>
      <c r="AC23" s="109">
        <f t="shared" si="9"/>
        <v>573.23076923076928</v>
      </c>
    </row>
    <row r="24" spans="1:29" x14ac:dyDescent="0.25">
      <c r="A24" s="79">
        <v>18</v>
      </c>
      <c r="B24" s="110" t="s">
        <v>171</v>
      </c>
      <c r="C24" s="110" t="s">
        <v>58</v>
      </c>
      <c r="D24" s="110" t="s">
        <v>189</v>
      </c>
      <c r="E24" s="111">
        <v>500</v>
      </c>
      <c r="F24" s="111">
        <f t="shared" si="0"/>
        <v>16.666666666666668</v>
      </c>
      <c r="G24" s="111">
        <f t="shared" si="1"/>
        <v>2.0833333333333335</v>
      </c>
      <c r="H24" s="113">
        <f t="shared" si="2"/>
        <v>115.38461538461539</v>
      </c>
      <c r="I24" s="112">
        <v>45454</v>
      </c>
      <c r="J24" s="114">
        <v>30</v>
      </c>
      <c r="K24" s="111">
        <f>2.71*20</f>
        <v>54.2</v>
      </c>
      <c r="L24" s="111">
        <f>+F24*1.5*4</f>
        <v>100</v>
      </c>
      <c r="M24" s="111"/>
      <c r="N24" s="111">
        <f>+F24*2</f>
        <v>33.333333333333336</v>
      </c>
      <c r="O24" s="111">
        <f t="shared" si="3"/>
        <v>687.53333333333342</v>
      </c>
      <c r="P24" s="127">
        <f t="shared" si="4"/>
        <v>687.53333333333342</v>
      </c>
      <c r="Q24" s="111">
        <f>+Q4*Q5</f>
        <v>66777.600000000006</v>
      </c>
      <c r="R24" s="111">
        <f t="shared" si="11"/>
        <v>16694.400000000001</v>
      </c>
      <c r="S24" s="109">
        <f t="shared" si="5"/>
        <v>84159.533333333355</v>
      </c>
      <c r="T24" s="29">
        <v>160</v>
      </c>
      <c r="U24" s="105">
        <f t="shared" si="6"/>
        <v>18.461538461538463</v>
      </c>
      <c r="V24" s="109">
        <f t="shared" si="7"/>
        <v>2.3076923076923079</v>
      </c>
      <c r="W24" s="105">
        <f t="shared" si="10"/>
        <v>6.8753333333333346</v>
      </c>
      <c r="X24" s="29"/>
      <c r="Y24" s="29"/>
      <c r="Z24" s="29"/>
      <c r="AA24" s="105">
        <v>0</v>
      </c>
      <c r="AB24" s="109">
        <f t="shared" si="8"/>
        <v>27.644564102564104</v>
      </c>
      <c r="AC24" s="109">
        <f t="shared" si="9"/>
        <v>659.8887692307693</v>
      </c>
    </row>
    <row r="25" spans="1:29" x14ac:dyDescent="0.25">
      <c r="A25" s="79">
        <v>19</v>
      </c>
      <c r="B25" s="110" t="s">
        <v>172</v>
      </c>
      <c r="C25" s="110" t="s">
        <v>100</v>
      </c>
      <c r="D25" s="110" t="s">
        <v>101</v>
      </c>
      <c r="E25" s="111">
        <v>500</v>
      </c>
      <c r="F25" s="111">
        <f t="shared" si="0"/>
        <v>16.666666666666668</v>
      </c>
      <c r="G25" s="111">
        <f t="shared" si="1"/>
        <v>2.0833333333333335</v>
      </c>
      <c r="H25" s="113">
        <f t="shared" si="2"/>
        <v>115.38461538461539</v>
      </c>
      <c r="I25" s="112">
        <v>45493</v>
      </c>
      <c r="J25" s="114">
        <v>30</v>
      </c>
      <c r="K25" s="111">
        <v>0</v>
      </c>
      <c r="L25" s="111">
        <v>0</v>
      </c>
      <c r="M25" s="111"/>
      <c r="N25" s="111">
        <f>+F25</f>
        <v>16.666666666666668</v>
      </c>
      <c r="O25" s="111">
        <f t="shared" si="3"/>
        <v>516.66666666666674</v>
      </c>
      <c r="P25" s="127">
        <f t="shared" si="4"/>
        <v>516.66666666666674</v>
      </c>
      <c r="Q25" s="111">
        <f>+Q4*Q5</f>
        <v>66777.600000000006</v>
      </c>
      <c r="R25" s="111">
        <f t="shared" si="11"/>
        <v>16694.400000000001</v>
      </c>
      <c r="S25" s="109">
        <f t="shared" si="5"/>
        <v>83988.666666666686</v>
      </c>
      <c r="T25" s="29">
        <v>160</v>
      </c>
      <c r="U25" s="105">
        <f t="shared" si="6"/>
        <v>18.461538461538463</v>
      </c>
      <c r="V25" s="109">
        <f t="shared" si="7"/>
        <v>2.3076923076923079</v>
      </c>
      <c r="W25" s="105">
        <f t="shared" si="10"/>
        <v>5.1666666666666679</v>
      </c>
      <c r="X25" s="29"/>
      <c r="Y25" s="29"/>
      <c r="Z25" s="29"/>
      <c r="AA25" s="105">
        <v>0</v>
      </c>
      <c r="AB25" s="109">
        <f t="shared" si="8"/>
        <v>25.935897435897438</v>
      </c>
      <c r="AC25" s="109">
        <f t="shared" si="9"/>
        <v>490.73076923076928</v>
      </c>
    </row>
    <row r="26" spans="1:29" x14ac:dyDescent="0.25">
      <c r="A26" s="79">
        <v>20</v>
      </c>
      <c r="B26" s="110" t="s">
        <v>173</v>
      </c>
      <c r="C26" s="110" t="s">
        <v>108</v>
      </c>
      <c r="D26" s="110" t="s">
        <v>191</v>
      </c>
      <c r="E26" s="111">
        <v>1000</v>
      </c>
      <c r="F26" s="111">
        <f t="shared" si="0"/>
        <v>33.333333333333336</v>
      </c>
      <c r="G26" s="111">
        <f t="shared" si="1"/>
        <v>4.166666666666667</v>
      </c>
      <c r="H26" s="113">
        <f t="shared" si="2"/>
        <v>230.76923076923077</v>
      </c>
      <c r="I26" s="112">
        <v>45505</v>
      </c>
      <c r="J26" s="114">
        <v>30</v>
      </c>
      <c r="K26" s="111">
        <v>0</v>
      </c>
      <c r="L26" s="111">
        <v>0</v>
      </c>
      <c r="M26" s="111"/>
      <c r="N26" s="111">
        <f>+F26*2</f>
        <v>66.666666666666671</v>
      </c>
      <c r="O26" s="111">
        <f t="shared" si="3"/>
        <v>1066.6666666666667</v>
      </c>
      <c r="P26" s="127">
        <f t="shared" si="4"/>
        <v>1066.6666666666667</v>
      </c>
      <c r="Q26" s="111">
        <f>+Q4*Q5</f>
        <v>66777.600000000006</v>
      </c>
      <c r="R26" s="111">
        <f t="shared" si="11"/>
        <v>16694.400000000001</v>
      </c>
      <c r="S26" s="109">
        <f t="shared" si="5"/>
        <v>84538.666666666686</v>
      </c>
      <c r="T26" s="29">
        <v>160</v>
      </c>
      <c r="U26" s="105">
        <f t="shared" si="6"/>
        <v>36.923076923076927</v>
      </c>
      <c r="V26" s="109">
        <f t="shared" si="7"/>
        <v>4.6153846153846159</v>
      </c>
      <c r="W26" s="105">
        <f t="shared" si="10"/>
        <v>10.666666666666668</v>
      </c>
      <c r="X26" s="29"/>
      <c r="Y26" s="29"/>
      <c r="Z26" s="29"/>
      <c r="AA26" s="105">
        <v>0</v>
      </c>
      <c r="AB26" s="109">
        <f t="shared" si="8"/>
        <v>52.205128205128204</v>
      </c>
      <c r="AC26" s="109">
        <f t="shared" si="9"/>
        <v>1014.4615384615386</v>
      </c>
    </row>
    <row r="27" spans="1:29" x14ac:dyDescent="0.25">
      <c r="A27" s="79">
        <v>21</v>
      </c>
      <c r="B27" s="79" t="s">
        <v>174</v>
      </c>
      <c r="C27" s="110" t="s">
        <v>105</v>
      </c>
      <c r="D27" s="110" t="s">
        <v>106</v>
      </c>
      <c r="E27" s="111">
        <v>500</v>
      </c>
      <c r="F27" s="111">
        <f t="shared" si="0"/>
        <v>16.666666666666668</v>
      </c>
      <c r="G27" s="111">
        <f t="shared" si="1"/>
        <v>2.0833333333333335</v>
      </c>
      <c r="H27" s="113">
        <f t="shared" si="2"/>
        <v>115.38461538461539</v>
      </c>
      <c r="I27" s="112">
        <v>45516</v>
      </c>
      <c r="J27" s="114">
        <v>30</v>
      </c>
      <c r="K27" s="111">
        <v>0</v>
      </c>
      <c r="L27" s="111">
        <v>0</v>
      </c>
      <c r="M27" s="111"/>
      <c r="N27" s="111">
        <f>+F27*2</f>
        <v>33.333333333333336</v>
      </c>
      <c r="O27" s="111">
        <f t="shared" si="3"/>
        <v>533.33333333333337</v>
      </c>
      <c r="P27" s="127">
        <f t="shared" si="4"/>
        <v>533.33333333333337</v>
      </c>
      <c r="Q27" s="111">
        <f>+Q4*Q5</f>
        <v>66777.600000000006</v>
      </c>
      <c r="R27" s="111">
        <f t="shared" si="11"/>
        <v>16694.400000000001</v>
      </c>
      <c r="S27" s="109">
        <f t="shared" si="5"/>
        <v>84005.333333333343</v>
      </c>
      <c r="T27" s="29">
        <v>160</v>
      </c>
      <c r="U27" s="105">
        <f t="shared" si="6"/>
        <v>18.461538461538463</v>
      </c>
      <c r="V27" s="109">
        <f t="shared" si="7"/>
        <v>2.3076923076923079</v>
      </c>
      <c r="W27" s="105">
        <f t="shared" si="10"/>
        <v>5.3333333333333339</v>
      </c>
      <c r="X27" s="29"/>
      <c r="Y27" s="29"/>
      <c r="Z27" s="29"/>
      <c r="AA27" s="105">
        <v>0</v>
      </c>
      <c r="AB27" s="109">
        <f t="shared" si="8"/>
        <v>26.102564102564102</v>
      </c>
      <c r="AC27" s="109">
        <f t="shared" si="9"/>
        <v>507.23076923076928</v>
      </c>
    </row>
    <row r="28" spans="1:29" x14ac:dyDescent="0.25">
      <c r="A28" s="79">
        <v>22</v>
      </c>
      <c r="B28" s="110" t="s">
        <v>175</v>
      </c>
      <c r="C28" s="110" t="s">
        <v>110</v>
      </c>
      <c r="D28" s="110" t="s">
        <v>53</v>
      </c>
      <c r="E28" s="111">
        <v>500</v>
      </c>
      <c r="F28" s="111">
        <f t="shared" si="0"/>
        <v>16.666666666666668</v>
      </c>
      <c r="G28" s="111">
        <f t="shared" si="1"/>
        <v>2.0833333333333335</v>
      </c>
      <c r="H28" s="113">
        <f t="shared" si="2"/>
        <v>115.38461538461539</v>
      </c>
      <c r="I28" s="112">
        <v>45563</v>
      </c>
      <c r="J28" s="114">
        <v>30</v>
      </c>
      <c r="K28" s="111">
        <f>2.71*20</f>
        <v>54.2</v>
      </c>
      <c r="L28" s="111">
        <f>+F28*1.5*4</f>
        <v>100</v>
      </c>
      <c r="M28" s="111"/>
      <c r="N28" s="111">
        <f>+F28*2</f>
        <v>33.333333333333336</v>
      </c>
      <c r="O28" s="111">
        <f t="shared" si="3"/>
        <v>687.53333333333342</v>
      </c>
      <c r="P28" s="127">
        <f t="shared" si="4"/>
        <v>687.53333333333342</v>
      </c>
      <c r="Q28" s="111">
        <f>+Q27</f>
        <v>66777.600000000006</v>
      </c>
      <c r="R28" s="111">
        <f t="shared" si="11"/>
        <v>16694.400000000001</v>
      </c>
      <c r="S28" s="109">
        <f t="shared" si="5"/>
        <v>84159.533333333355</v>
      </c>
      <c r="T28" s="29">
        <v>160</v>
      </c>
      <c r="U28" s="105">
        <f t="shared" si="6"/>
        <v>18.461538461538463</v>
      </c>
      <c r="V28" s="109">
        <f t="shared" si="7"/>
        <v>2.3076923076923079</v>
      </c>
      <c r="W28" s="105">
        <f t="shared" si="10"/>
        <v>6.8753333333333346</v>
      </c>
      <c r="X28" s="29"/>
      <c r="Y28" s="29"/>
      <c r="Z28" s="29"/>
      <c r="AA28" s="105">
        <v>0</v>
      </c>
      <c r="AB28" s="109">
        <f t="shared" si="8"/>
        <v>27.644564102564104</v>
      </c>
      <c r="AC28" s="109">
        <f t="shared" si="9"/>
        <v>659.8887692307693</v>
      </c>
    </row>
    <row r="29" spans="1:29" x14ac:dyDescent="0.25">
      <c r="A29" s="79">
        <v>23</v>
      </c>
      <c r="B29" s="110" t="s">
        <v>176</v>
      </c>
      <c r="C29" s="110" t="s">
        <v>40</v>
      </c>
      <c r="D29" s="79" t="s">
        <v>41</v>
      </c>
      <c r="E29" s="111">
        <v>700</v>
      </c>
      <c r="F29" s="111">
        <f t="shared" si="0"/>
        <v>23.333333333333332</v>
      </c>
      <c r="G29" s="111">
        <f t="shared" si="1"/>
        <v>2.9166666666666665</v>
      </c>
      <c r="H29" s="113">
        <f t="shared" si="2"/>
        <v>161.53846153846155</v>
      </c>
      <c r="I29" s="112">
        <v>45516</v>
      </c>
      <c r="J29" s="114">
        <v>29</v>
      </c>
      <c r="K29" s="111">
        <v>0</v>
      </c>
      <c r="L29" s="111">
        <v>0</v>
      </c>
      <c r="M29" s="111"/>
      <c r="N29" s="111">
        <f>+F29</f>
        <v>23.333333333333332</v>
      </c>
      <c r="O29" s="111">
        <f t="shared" si="3"/>
        <v>700</v>
      </c>
      <c r="P29" s="127">
        <f t="shared" si="4"/>
        <v>700</v>
      </c>
      <c r="Q29" s="111">
        <f>+Q4*Q5</f>
        <v>66777.600000000006</v>
      </c>
      <c r="R29" s="111">
        <f t="shared" si="11"/>
        <v>16694.400000000001</v>
      </c>
      <c r="S29" s="109">
        <f t="shared" si="5"/>
        <v>84172</v>
      </c>
      <c r="T29" s="29">
        <v>160</v>
      </c>
      <c r="U29" s="105">
        <f t="shared" si="6"/>
        <v>25.846153846153847</v>
      </c>
      <c r="V29" s="109">
        <f t="shared" si="7"/>
        <v>3.2307692307692308</v>
      </c>
      <c r="W29" s="105">
        <f t="shared" si="10"/>
        <v>7</v>
      </c>
      <c r="X29" s="29"/>
      <c r="Y29" s="29"/>
      <c r="Z29" s="29"/>
      <c r="AA29" s="105">
        <v>0</v>
      </c>
      <c r="AB29" s="109">
        <f t="shared" si="8"/>
        <v>36.07692307692308</v>
      </c>
      <c r="AC29" s="109">
        <f>+O29-AB29-AA29</f>
        <v>663.92307692307691</v>
      </c>
    </row>
    <row r="30" spans="1:29" x14ac:dyDescent="0.25">
      <c r="A30" s="79">
        <v>24</v>
      </c>
      <c r="B30" s="79" t="s">
        <v>177</v>
      </c>
      <c r="C30" s="110" t="s">
        <v>88</v>
      </c>
      <c r="D30" s="110" t="s">
        <v>189</v>
      </c>
      <c r="E30" s="111">
        <v>500</v>
      </c>
      <c r="F30" s="111">
        <f t="shared" si="0"/>
        <v>16.666666666666668</v>
      </c>
      <c r="G30" s="111">
        <f t="shared" si="1"/>
        <v>2.0833333333333335</v>
      </c>
      <c r="H30" s="113">
        <f t="shared" si="2"/>
        <v>115.38461538461539</v>
      </c>
      <c r="I30" s="112">
        <v>45547</v>
      </c>
      <c r="J30" s="114">
        <v>30</v>
      </c>
      <c r="K30" s="111">
        <f>2.71*20</f>
        <v>54.2</v>
      </c>
      <c r="L30" s="111">
        <f>+F30*1.5*4</f>
        <v>100</v>
      </c>
      <c r="M30" s="111"/>
      <c r="N30" s="111">
        <f>+F30</f>
        <v>16.666666666666668</v>
      </c>
      <c r="O30" s="111">
        <f t="shared" si="3"/>
        <v>670.86666666666667</v>
      </c>
      <c r="P30" s="127">
        <f t="shared" si="4"/>
        <v>670.86666666666667</v>
      </c>
      <c r="Q30" s="111">
        <f>+Q4*Q5</f>
        <v>66777.600000000006</v>
      </c>
      <c r="R30" s="111">
        <f t="shared" si="11"/>
        <v>16694.400000000001</v>
      </c>
      <c r="S30" s="109">
        <f t="shared" si="5"/>
        <v>84142.866666666669</v>
      </c>
      <c r="T30" s="29">
        <v>160</v>
      </c>
      <c r="U30" s="105">
        <f t="shared" si="6"/>
        <v>18.461538461538463</v>
      </c>
      <c r="V30" s="109">
        <f t="shared" si="7"/>
        <v>2.3076923076923079</v>
      </c>
      <c r="W30" s="105">
        <f t="shared" si="10"/>
        <v>6.7086666666666668</v>
      </c>
      <c r="X30" s="29"/>
      <c r="Y30" s="29"/>
      <c r="Z30" s="29"/>
      <c r="AA30" s="105">
        <v>0</v>
      </c>
      <c r="AB30" s="109">
        <f t="shared" si="8"/>
        <v>27.477897435897436</v>
      </c>
      <c r="AC30" s="109">
        <f t="shared" si="9"/>
        <v>643.38876923076919</v>
      </c>
    </row>
    <row r="31" spans="1:29" x14ac:dyDescent="0.25">
      <c r="A31" s="79">
        <v>25</v>
      </c>
      <c r="B31" s="110" t="s">
        <v>178</v>
      </c>
      <c r="C31" s="110" t="s">
        <v>72</v>
      </c>
      <c r="D31" s="110" t="s">
        <v>188</v>
      </c>
      <c r="E31" s="111">
        <v>700</v>
      </c>
      <c r="F31" s="111">
        <f t="shared" si="0"/>
        <v>23.333333333333332</v>
      </c>
      <c r="G31" s="111">
        <f t="shared" si="1"/>
        <v>2.9166666666666665</v>
      </c>
      <c r="H31" s="113">
        <f t="shared" si="2"/>
        <v>161.53846153846155</v>
      </c>
      <c r="I31" s="112">
        <v>45572</v>
      </c>
      <c r="J31" s="114">
        <v>30</v>
      </c>
      <c r="K31" s="111">
        <v>0</v>
      </c>
      <c r="L31" s="111">
        <v>0</v>
      </c>
      <c r="M31" s="111"/>
      <c r="N31" s="111">
        <f t="shared" ref="N31:N36" si="12">+F31*2</f>
        <v>46.666666666666664</v>
      </c>
      <c r="O31" s="111">
        <f t="shared" si="3"/>
        <v>746.66666666666663</v>
      </c>
      <c r="P31" s="127">
        <f t="shared" si="4"/>
        <v>746.66666666666663</v>
      </c>
      <c r="Q31" s="111">
        <f>+Q4*Q5</f>
        <v>66777.600000000006</v>
      </c>
      <c r="R31" s="111">
        <f t="shared" si="11"/>
        <v>16694.400000000001</v>
      </c>
      <c r="S31" s="109">
        <f t="shared" si="5"/>
        <v>84218.666666666686</v>
      </c>
      <c r="T31" s="29">
        <v>160</v>
      </c>
      <c r="U31" s="105">
        <f t="shared" si="6"/>
        <v>25.846153846153847</v>
      </c>
      <c r="V31" s="109">
        <f t="shared" si="7"/>
        <v>3.2307692307692308</v>
      </c>
      <c r="W31" s="105">
        <f t="shared" si="10"/>
        <v>7.4666666666666668</v>
      </c>
      <c r="X31" s="29"/>
      <c r="Y31" s="29"/>
      <c r="Z31" s="29"/>
      <c r="AA31" s="105">
        <v>0</v>
      </c>
      <c r="AB31" s="109">
        <f t="shared" si="8"/>
        <v>36.543589743589742</v>
      </c>
      <c r="AC31" s="109">
        <f t="shared" si="9"/>
        <v>710.12307692307684</v>
      </c>
    </row>
    <row r="32" spans="1:29" x14ac:dyDescent="0.25">
      <c r="A32" s="79">
        <v>27</v>
      </c>
      <c r="B32" s="110" t="s">
        <v>179</v>
      </c>
      <c r="C32" s="110" t="s">
        <v>77</v>
      </c>
      <c r="D32" s="110" t="s">
        <v>192</v>
      </c>
      <c r="E32" s="111">
        <v>1000</v>
      </c>
      <c r="F32" s="111">
        <f t="shared" si="0"/>
        <v>33.333333333333336</v>
      </c>
      <c r="G32" s="111">
        <f t="shared" si="1"/>
        <v>4.166666666666667</v>
      </c>
      <c r="H32" s="113">
        <f t="shared" si="2"/>
        <v>230.76923076923077</v>
      </c>
      <c r="I32" s="112">
        <v>45677</v>
      </c>
      <c r="J32" s="114">
        <v>18</v>
      </c>
      <c r="K32" s="111">
        <v>0</v>
      </c>
      <c r="L32" s="111">
        <v>0</v>
      </c>
      <c r="M32" s="111"/>
      <c r="N32" s="111">
        <f t="shared" si="12"/>
        <v>66.666666666666671</v>
      </c>
      <c r="O32" s="111">
        <f t="shared" si="3"/>
        <v>666.66666666666663</v>
      </c>
      <c r="P32" s="127">
        <f t="shared" si="4"/>
        <v>666.66666666666663</v>
      </c>
      <c r="Q32" s="111">
        <f>+Q4*Q5</f>
        <v>66777.600000000006</v>
      </c>
      <c r="R32" s="111">
        <f t="shared" si="11"/>
        <v>16694.400000000001</v>
      </c>
      <c r="S32" s="109">
        <f t="shared" si="5"/>
        <v>84138.666666666686</v>
      </c>
      <c r="T32" s="29">
        <v>160</v>
      </c>
      <c r="U32" s="105">
        <f t="shared" si="6"/>
        <v>36.923076923076927</v>
      </c>
      <c r="V32" s="109">
        <f t="shared" si="7"/>
        <v>4.6153846153846159</v>
      </c>
      <c r="W32" s="105">
        <f t="shared" si="10"/>
        <v>6.6666666666666661</v>
      </c>
      <c r="X32" s="29"/>
      <c r="Y32" s="29"/>
      <c r="Z32" s="29"/>
      <c r="AA32" s="105">
        <v>0</v>
      </c>
      <c r="AB32" s="109">
        <f t="shared" si="8"/>
        <v>48.205128205128204</v>
      </c>
      <c r="AC32" s="109">
        <f t="shared" si="9"/>
        <v>618.46153846153845</v>
      </c>
    </row>
    <row r="33" spans="1:29" x14ac:dyDescent="0.25">
      <c r="A33" s="79">
        <v>28</v>
      </c>
      <c r="B33" s="110" t="s">
        <v>122</v>
      </c>
      <c r="C33" s="110" t="s">
        <v>180</v>
      </c>
      <c r="D33" s="110" t="s">
        <v>70</v>
      </c>
      <c r="E33" s="111">
        <v>500</v>
      </c>
      <c r="F33" s="111">
        <f t="shared" si="0"/>
        <v>16.666666666666668</v>
      </c>
      <c r="G33" s="111">
        <f t="shared" si="1"/>
        <v>2.0833333333333335</v>
      </c>
      <c r="H33" s="113">
        <f t="shared" si="2"/>
        <v>115.38461538461539</v>
      </c>
      <c r="I33" s="112">
        <v>45820</v>
      </c>
      <c r="J33" s="114">
        <v>30</v>
      </c>
      <c r="K33" s="111">
        <v>0</v>
      </c>
      <c r="L33" s="111">
        <f>+F33*1.5*4</f>
        <v>100</v>
      </c>
      <c r="M33" s="111"/>
      <c r="N33" s="111">
        <f t="shared" si="12"/>
        <v>33.333333333333336</v>
      </c>
      <c r="O33" s="111">
        <f t="shared" si="3"/>
        <v>633.33333333333337</v>
      </c>
      <c r="P33" s="127">
        <f t="shared" si="4"/>
        <v>633.33333333333337</v>
      </c>
      <c r="Q33" s="111">
        <f>+Q4*Q5</f>
        <v>66777.600000000006</v>
      </c>
      <c r="R33" s="111">
        <f t="shared" si="11"/>
        <v>16694.400000000001</v>
      </c>
      <c r="S33" s="109">
        <f t="shared" si="5"/>
        <v>84105.333333333343</v>
      </c>
      <c r="T33" s="29">
        <v>160</v>
      </c>
      <c r="U33" s="105">
        <f t="shared" si="6"/>
        <v>18.461538461538463</v>
      </c>
      <c r="V33" s="109">
        <f t="shared" si="7"/>
        <v>2.3076923076923079</v>
      </c>
      <c r="W33" s="105">
        <f t="shared" si="10"/>
        <v>6.3333333333333339</v>
      </c>
      <c r="X33" s="29"/>
      <c r="Y33" s="29"/>
      <c r="Z33" s="29"/>
      <c r="AA33" s="105">
        <v>0</v>
      </c>
      <c r="AB33" s="109">
        <f t="shared" si="8"/>
        <v>27.102564102564102</v>
      </c>
      <c r="AC33" s="109">
        <f t="shared" si="9"/>
        <v>606.23076923076928</v>
      </c>
    </row>
    <row r="34" spans="1:29" s="97" customFormat="1" x14ac:dyDescent="0.25">
      <c r="A34" s="79">
        <v>29</v>
      </c>
      <c r="B34" s="110" t="s">
        <v>127</v>
      </c>
      <c r="C34" s="110" t="s">
        <v>128</v>
      </c>
      <c r="D34" s="110" t="s">
        <v>70</v>
      </c>
      <c r="E34" s="111">
        <v>500</v>
      </c>
      <c r="F34" s="111">
        <f t="shared" si="0"/>
        <v>16.666666666666668</v>
      </c>
      <c r="G34" s="111">
        <f t="shared" si="1"/>
        <v>2.0833333333333335</v>
      </c>
      <c r="H34" s="113">
        <f t="shared" si="2"/>
        <v>115.38461538461539</v>
      </c>
      <c r="I34" s="112">
        <v>45877</v>
      </c>
      <c r="J34" s="114">
        <v>30</v>
      </c>
      <c r="K34" s="111">
        <f>2.71*20</f>
        <v>54.2</v>
      </c>
      <c r="L34" s="111">
        <f>+F34*1.5*4</f>
        <v>100</v>
      </c>
      <c r="M34" s="111"/>
      <c r="N34" s="111">
        <f t="shared" si="12"/>
        <v>33.333333333333336</v>
      </c>
      <c r="O34" s="111">
        <f t="shared" si="3"/>
        <v>687.53333333333342</v>
      </c>
      <c r="P34" s="127">
        <f t="shared" si="4"/>
        <v>687.53333333333342</v>
      </c>
      <c r="Q34" s="111">
        <f>+Q$4*Q$5</f>
        <v>66777.600000000006</v>
      </c>
      <c r="R34" s="111">
        <f t="shared" si="11"/>
        <v>16694.400000000001</v>
      </c>
      <c r="S34" s="109">
        <f t="shared" si="5"/>
        <v>84159.533333333355</v>
      </c>
      <c r="T34" s="29">
        <v>160</v>
      </c>
      <c r="U34" s="105">
        <f t="shared" si="6"/>
        <v>18.461538461538463</v>
      </c>
      <c r="V34" s="109">
        <f t="shared" si="7"/>
        <v>2.3076923076923079</v>
      </c>
      <c r="W34" s="105">
        <v>6.33</v>
      </c>
      <c r="X34" s="79"/>
      <c r="Y34" s="79"/>
      <c r="Z34" s="79"/>
      <c r="AA34" s="105">
        <v>0</v>
      </c>
      <c r="AB34" s="109">
        <f t="shared" si="8"/>
        <v>27.099230769230772</v>
      </c>
      <c r="AC34" s="109">
        <f t="shared" si="9"/>
        <v>660.43410256410266</v>
      </c>
    </row>
    <row r="35" spans="1:29" s="97" customFormat="1" x14ac:dyDescent="0.25">
      <c r="A35" s="90">
        <v>29</v>
      </c>
      <c r="B35" s="80" t="s">
        <v>124</v>
      </c>
      <c r="C35" s="79" t="s">
        <v>125</v>
      </c>
      <c r="D35" s="79" t="s">
        <v>65</v>
      </c>
      <c r="E35" s="117">
        <v>700</v>
      </c>
      <c r="F35" s="118">
        <f>E35/30</f>
        <v>23.333333333333332</v>
      </c>
      <c r="G35" s="119">
        <f t="shared" ref="G35" si="13">F35/8</f>
        <v>2.9166666666666665</v>
      </c>
      <c r="H35" s="119">
        <f t="shared" ref="H35" si="14">E35*12/52</f>
        <v>161.53846153846155</v>
      </c>
      <c r="I35" s="120"/>
      <c r="J35" s="132">
        <v>30</v>
      </c>
      <c r="K35" s="121">
        <v>0</v>
      </c>
      <c r="L35" s="122">
        <v>0</v>
      </c>
      <c r="M35" s="122">
        <v>0</v>
      </c>
      <c r="N35" s="111">
        <f t="shared" si="12"/>
        <v>46.666666666666664</v>
      </c>
      <c r="O35" s="111">
        <f t="shared" si="3"/>
        <v>746.66666666666663</v>
      </c>
      <c r="P35" s="127">
        <f t="shared" si="4"/>
        <v>746.66666666666663</v>
      </c>
      <c r="Q35" s="111">
        <f>+Q$4*Q$5</f>
        <v>66777.600000000006</v>
      </c>
      <c r="R35" s="122">
        <f t="shared" ref="R35" si="15">(($R$4*$R$5)/30)*J35</f>
        <v>16694.400000000001</v>
      </c>
      <c r="S35" s="122">
        <f>+P35+Q35+R35</f>
        <v>84218.666666666686</v>
      </c>
      <c r="T35" s="126">
        <v>160</v>
      </c>
      <c r="U35" s="125">
        <v>0</v>
      </c>
      <c r="V35" s="125">
        <v>0</v>
      </c>
      <c r="W35" s="125">
        <v>0</v>
      </c>
      <c r="X35" s="124">
        <v>0</v>
      </c>
      <c r="Y35" s="123">
        <f t="shared" ref="Y35" si="16">E35*X35</f>
        <v>0</v>
      </c>
      <c r="Z35" s="123">
        <v>0</v>
      </c>
      <c r="AA35" s="105">
        <v>0</v>
      </c>
      <c r="AB35" s="123">
        <v>0</v>
      </c>
      <c r="AC35" s="109">
        <f t="shared" si="9"/>
        <v>746.66666666666663</v>
      </c>
    </row>
    <row r="36" spans="1:29" x14ac:dyDescent="0.25">
      <c r="A36" s="79">
        <v>30</v>
      </c>
      <c r="B36" s="79" t="s">
        <v>129</v>
      </c>
      <c r="C36" s="110" t="s">
        <v>130</v>
      </c>
      <c r="D36" s="110" t="s">
        <v>70</v>
      </c>
      <c r="E36" s="111">
        <v>500</v>
      </c>
      <c r="F36" s="111">
        <f t="shared" si="0"/>
        <v>16.666666666666668</v>
      </c>
      <c r="G36" s="111">
        <f t="shared" si="1"/>
        <v>2.0833333333333335</v>
      </c>
      <c r="H36" s="113">
        <f t="shared" si="2"/>
        <v>115.38461538461539</v>
      </c>
      <c r="I36" s="112">
        <v>45888</v>
      </c>
      <c r="J36" s="114">
        <v>21</v>
      </c>
      <c r="K36" s="111">
        <f>2.71*18</f>
        <v>48.78</v>
      </c>
      <c r="L36" s="111">
        <v>0</v>
      </c>
      <c r="M36" s="111"/>
      <c r="N36" s="111">
        <f t="shared" si="12"/>
        <v>33.333333333333336</v>
      </c>
      <c r="O36" s="111">
        <f t="shared" si="3"/>
        <v>432.11333333333329</v>
      </c>
      <c r="P36" s="127">
        <f t="shared" si="4"/>
        <v>432.11333333333329</v>
      </c>
      <c r="Q36" s="111">
        <f>+Q4*Q5</f>
        <v>66777.600000000006</v>
      </c>
      <c r="R36" s="111">
        <f t="shared" si="11"/>
        <v>16694.400000000001</v>
      </c>
      <c r="S36" s="109">
        <f t="shared" si="5"/>
        <v>83904.113333333342</v>
      </c>
      <c r="T36" s="29">
        <v>160</v>
      </c>
      <c r="U36" s="105">
        <f t="shared" si="6"/>
        <v>18.461538461538463</v>
      </c>
      <c r="V36" s="109">
        <f t="shared" si="7"/>
        <v>2.3076923076923079</v>
      </c>
      <c r="W36" s="105">
        <f t="shared" si="10"/>
        <v>4.321133333333333</v>
      </c>
      <c r="X36" s="29"/>
      <c r="Y36" s="29"/>
      <c r="Z36" s="29"/>
      <c r="AA36" s="105">
        <v>0</v>
      </c>
      <c r="AB36" s="109">
        <f t="shared" si="8"/>
        <v>25.090364102564102</v>
      </c>
      <c r="AC36" s="109">
        <f t="shared" si="9"/>
        <v>407.02296923076921</v>
      </c>
    </row>
    <row r="37" spans="1:29" x14ac:dyDescent="0.25">
      <c r="A37" s="79">
        <v>31</v>
      </c>
      <c r="B37" s="110" t="s">
        <v>134</v>
      </c>
      <c r="C37" s="110" t="s">
        <v>135</v>
      </c>
      <c r="D37" s="110" t="s">
        <v>106</v>
      </c>
      <c r="E37" s="111">
        <v>500</v>
      </c>
      <c r="F37" s="111">
        <f t="shared" si="0"/>
        <v>16.666666666666668</v>
      </c>
      <c r="G37" s="111">
        <f t="shared" si="1"/>
        <v>2.0833333333333335</v>
      </c>
      <c r="H37" s="113">
        <f t="shared" si="2"/>
        <v>115.38461538461539</v>
      </c>
      <c r="I37" s="112">
        <v>45877</v>
      </c>
      <c r="J37" s="114">
        <v>30</v>
      </c>
      <c r="K37" s="111">
        <f>2.71*20</f>
        <v>54.2</v>
      </c>
      <c r="L37" s="111">
        <f>+F37*1.5*4</f>
        <v>100</v>
      </c>
      <c r="M37" s="111"/>
      <c r="N37" s="111">
        <f>+F37*1</f>
        <v>16.666666666666668</v>
      </c>
      <c r="O37" s="111">
        <f t="shared" si="3"/>
        <v>670.86666666666667</v>
      </c>
      <c r="P37" s="127">
        <f t="shared" si="4"/>
        <v>670.86666666666667</v>
      </c>
      <c r="Q37" s="111">
        <f>+Q4*Q5</f>
        <v>66777.600000000006</v>
      </c>
      <c r="R37" s="111">
        <f t="shared" si="11"/>
        <v>16694.400000000001</v>
      </c>
      <c r="S37" s="109">
        <f t="shared" si="5"/>
        <v>84142.866666666669</v>
      </c>
      <c r="T37" s="29">
        <v>160</v>
      </c>
      <c r="U37" s="105">
        <f t="shared" si="6"/>
        <v>18.461538461538463</v>
      </c>
      <c r="V37" s="109">
        <f t="shared" si="7"/>
        <v>2.3076923076923079</v>
      </c>
      <c r="W37" s="105">
        <f t="shared" si="10"/>
        <v>6.7086666666666668</v>
      </c>
      <c r="X37" s="29"/>
      <c r="Y37" s="29"/>
      <c r="Z37" s="29"/>
      <c r="AA37" s="105">
        <v>0</v>
      </c>
      <c r="AB37" s="109">
        <f t="shared" si="8"/>
        <v>27.477897435897436</v>
      </c>
      <c r="AC37" s="109">
        <f t="shared" si="9"/>
        <v>643.38876923076919</v>
      </c>
    </row>
    <row r="38" spans="1:29" x14ac:dyDescent="0.25">
      <c r="A38" s="79">
        <v>32</v>
      </c>
      <c r="B38" s="110" t="s">
        <v>182</v>
      </c>
      <c r="C38" s="110" t="s">
        <v>181</v>
      </c>
      <c r="D38" s="110" t="s">
        <v>53</v>
      </c>
      <c r="E38" s="111">
        <v>500</v>
      </c>
      <c r="F38" s="111">
        <f t="shared" si="0"/>
        <v>16.666666666666668</v>
      </c>
      <c r="G38" s="111">
        <f t="shared" si="1"/>
        <v>2.0833333333333335</v>
      </c>
      <c r="H38" s="113">
        <f t="shared" si="2"/>
        <v>115.38461538461539</v>
      </c>
      <c r="I38" s="112">
        <v>45959</v>
      </c>
      <c r="J38" s="114">
        <v>7</v>
      </c>
      <c r="K38" s="111">
        <v>0</v>
      </c>
      <c r="L38" s="111">
        <v>0</v>
      </c>
      <c r="M38" s="111"/>
      <c r="N38" s="111"/>
      <c r="O38" s="111">
        <f t="shared" si="3"/>
        <v>116.66666666666667</v>
      </c>
      <c r="P38" s="127">
        <f t="shared" si="4"/>
        <v>116.66666666666667</v>
      </c>
      <c r="Q38" s="111">
        <f>+Q4*Q5</f>
        <v>66777.600000000006</v>
      </c>
      <c r="R38" s="111">
        <f t="shared" si="11"/>
        <v>16694.400000000001</v>
      </c>
      <c r="S38" s="109">
        <f t="shared" si="5"/>
        <v>83588.666666666686</v>
      </c>
      <c r="T38" s="29">
        <v>160</v>
      </c>
      <c r="U38" s="105">
        <f t="shared" si="6"/>
        <v>18.461538461538463</v>
      </c>
      <c r="V38" s="109">
        <f t="shared" si="7"/>
        <v>2.3076923076923079</v>
      </c>
      <c r="W38" s="105">
        <f t="shared" si="10"/>
        <v>1.1666666666666667</v>
      </c>
      <c r="X38" s="29"/>
      <c r="Y38" s="29"/>
      <c r="Z38" s="29"/>
      <c r="AA38" s="105">
        <v>0</v>
      </c>
      <c r="AB38" s="109">
        <f t="shared" si="8"/>
        <v>21.935897435897438</v>
      </c>
      <c r="AC38" s="109">
        <f t="shared" si="9"/>
        <v>94.730769230769226</v>
      </c>
    </row>
    <row r="39" spans="1:29" x14ac:dyDescent="0.25">
      <c r="A39" s="79">
        <v>33</v>
      </c>
      <c r="B39" s="79" t="s">
        <v>183</v>
      </c>
      <c r="C39" s="79" t="s">
        <v>151</v>
      </c>
      <c r="D39" s="79" t="s">
        <v>70</v>
      </c>
      <c r="E39" s="111">
        <v>500</v>
      </c>
      <c r="F39" s="111">
        <f t="shared" si="0"/>
        <v>16.666666666666668</v>
      </c>
      <c r="G39" s="111">
        <f t="shared" si="1"/>
        <v>2.0833333333333335</v>
      </c>
      <c r="H39" s="113">
        <f t="shared" si="2"/>
        <v>115.38461538461539</v>
      </c>
      <c r="I39" s="112">
        <v>46038</v>
      </c>
      <c r="J39" s="114">
        <v>30</v>
      </c>
      <c r="K39" s="111">
        <v>0</v>
      </c>
      <c r="L39" s="111">
        <f>+F39*1.5*4</f>
        <v>100</v>
      </c>
      <c r="M39" s="111"/>
      <c r="N39" s="111">
        <f>+F39*2</f>
        <v>33.333333333333336</v>
      </c>
      <c r="O39" s="111">
        <f t="shared" si="3"/>
        <v>633.33333333333337</v>
      </c>
      <c r="P39" s="127">
        <f t="shared" si="4"/>
        <v>633.33333333333337</v>
      </c>
      <c r="Q39" s="111">
        <f>+Q4*Q5</f>
        <v>66777.600000000006</v>
      </c>
      <c r="R39" s="111">
        <f t="shared" si="11"/>
        <v>16694.400000000001</v>
      </c>
      <c r="S39" s="109">
        <f t="shared" si="5"/>
        <v>84105.333333333343</v>
      </c>
      <c r="T39" s="29">
        <v>0</v>
      </c>
      <c r="U39" s="105">
        <v>0</v>
      </c>
      <c r="V39" s="109">
        <v>0</v>
      </c>
      <c r="W39" s="105">
        <v>0</v>
      </c>
      <c r="X39" s="29"/>
      <c r="Y39" s="29"/>
      <c r="Z39" s="29"/>
      <c r="AA39" s="105">
        <v>0</v>
      </c>
      <c r="AB39" s="109">
        <f t="shared" si="8"/>
        <v>0</v>
      </c>
      <c r="AC39" s="109">
        <f t="shared" si="9"/>
        <v>633.33333333333337</v>
      </c>
    </row>
    <row r="40" spans="1:29" ht="15.75" customHeight="1" x14ac:dyDescent="0.25">
      <c r="A40" s="79">
        <v>34</v>
      </c>
      <c r="B40" s="79" t="s">
        <v>184</v>
      </c>
      <c r="C40" s="79" t="s">
        <v>153</v>
      </c>
      <c r="D40" s="79" t="s">
        <v>53</v>
      </c>
      <c r="E40" s="111">
        <v>500</v>
      </c>
      <c r="F40" s="111">
        <f t="shared" si="0"/>
        <v>16.666666666666668</v>
      </c>
      <c r="G40" s="111">
        <f t="shared" si="1"/>
        <v>2.0833333333333335</v>
      </c>
      <c r="H40" s="113">
        <f t="shared" si="2"/>
        <v>115.38461538461539</v>
      </c>
      <c r="I40" s="112">
        <v>46038</v>
      </c>
      <c r="J40" s="114">
        <v>28</v>
      </c>
      <c r="K40" s="111">
        <v>0</v>
      </c>
      <c r="L40" s="111">
        <f>+F40*1.5*4</f>
        <v>100</v>
      </c>
      <c r="M40" s="111"/>
      <c r="N40" s="111">
        <f>+F40</f>
        <v>16.666666666666668</v>
      </c>
      <c r="O40" s="111">
        <f>+F40*J40+K40+L40+M40+N40</f>
        <v>583.33333333333337</v>
      </c>
      <c r="P40" s="127">
        <f t="shared" si="4"/>
        <v>583.33333333333337</v>
      </c>
      <c r="Q40" s="111">
        <f>+Q$4*Q$5</f>
        <v>66777.600000000006</v>
      </c>
      <c r="R40" s="111">
        <f t="shared" si="11"/>
        <v>16694.400000000001</v>
      </c>
      <c r="S40" s="109">
        <f t="shared" si="5"/>
        <v>84055.333333333343</v>
      </c>
      <c r="T40" s="29">
        <v>0</v>
      </c>
      <c r="U40" s="105">
        <v>0</v>
      </c>
      <c r="V40" s="109">
        <v>0</v>
      </c>
      <c r="W40" s="105">
        <v>0</v>
      </c>
      <c r="X40" s="29"/>
      <c r="Y40" s="29"/>
      <c r="Z40" s="29"/>
      <c r="AA40" s="105">
        <v>0</v>
      </c>
      <c r="AB40" s="109">
        <f t="shared" si="8"/>
        <v>0</v>
      </c>
      <c r="AC40" s="109">
        <f t="shared" si="9"/>
        <v>583.33333333333337</v>
      </c>
    </row>
    <row r="41" spans="1:29" ht="18" customHeight="1" x14ac:dyDescent="0.25">
      <c r="A41" s="79">
        <v>35</v>
      </c>
      <c r="B41" s="79" t="s">
        <v>195</v>
      </c>
      <c r="C41" s="79" t="s">
        <v>196</v>
      </c>
      <c r="D41" s="79" t="s">
        <v>56</v>
      </c>
      <c r="E41" s="111">
        <v>500</v>
      </c>
      <c r="F41" s="111">
        <f t="shared" si="0"/>
        <v>16.666666666666668</v>
      </c>
      <c r="G41" s="111">
        <f t="shared" si="1"/>
        <v>2.0833333333333335</v>
      </c>
      <c r="H41" s="113">
        <f t="shared" ref="H41:H42" si="17">+E41*12/52</f>
        <v>115.38461538461539</v>
      </c>
      <c r="I41" s="112">
        <v>46073</v>
      </c>
      <c r="J41" s="114">
        <v>9</v>
      </c>
      <c r="K41" s="111">
        <v>0</v>
      </c>
      <c r="L41" s="111">
        <f>+F41*1.5*1</f>
        <v>25</v>
      </c>
      <c r="M41" s="111"/>
      <c r="N41" s="111">
        <v>0</v>
      </c>
      <c r="O41" s="111">
        <f>+F41*J41+K41+L41+M41+N41</f>
        <v>175</v>
      </c>
      <c r="P41" s="127">
        <f t="shared" si="4"/>
        <v>175</v>
      </c>
      <c r="Q41" s="111">
        <f t="shared" ref="Q41:Q42" si="18">+Q$4*Q$5</f>
        <v>66777.600000000006</v>
      </c>
      <c r="R41" s="111">
        <f t="shared" si="11"/>
        <v>16694.400000000001</v>
      </c>
      <c r="S41" s="109">
        <f t="shared" ref="S41:S42" si="19">+P41+Q41+R41</f>
        <v>83647</v>
      </c>
      <c r="T41" s="29">
        <v>0</v>
      </c>
      <c r="U41" s="105">
        <v>0</v>
      </c>
      <c r="V41" s="109">
        <v>0</v>
      </c>
      <c r="W41" s="105">
        <v>0</v>
      </c>
      <c r="X41" s="29"/>
      <c r="Y41" s="29"/>
      <c r="Z41" s="29"/>
      <c r="AA41" s="105">
        <v>0</v>
      </c>
      <c r="AB41" s="109">
        <f t="shared" ref="AB41:AB42" si="20">+U41+V41+W41</f>
        <v>0</v>
      </c>
      <c r="AC41" s="109">
        <f t="shared" ref="AC41:AC42" si="21">+O41-AB41-AA41</f>
        <v>175</v>
      </c>
    </row>
    <row r="42" spans="1:29" ht="20.25" customHeight="1" x14ac:dyDescent="0.25">
      <c r="A42" s="79">
        <v>36</v>
      </c>
      <c r="B42" s="29" t="s">
        <v>193</v>
      </c>
      <c r="C42" s="29" t="s">
        <v>194</v>
      </c>
      <c r="D42" s="29" t="s">
        <v>53</v>
      </c>
      <c r="E42" s="105">
        <v>500</v>
      </c>
      <c r="F42" s="105">
        <f t="shared" si="0"/>
        <v>16.666666666666668</v>
      </c>
      <c r="G42" s="105">
        <f t="shared" si="1"/>
        <v>2.0833333333333335</v>
      </c>
      <c r="H42" s="106">
        <f t="shared" si="17"/>
        <v>115.38461538461539</v>
      </c>
      <c r="I42" s="107">
        <v>46073</v>
      </c>
      <c r="J42" s="108">
        <v>8</v>
      </c>
      <c r="K42" s="105">
        <v>0</v>
      </c>
      <c r="L42" s="105">
        <f>+F42*1.5*1</f>
        <v>25</v>
      </c>
      <c r="M42" s="105"/>
      <c r="N42" s="105">
        <v>0</v>
      </c>
      <c r="O42" s="105">
        <f>+F42*J42+K42+L42+M42+N42</f>
        <v>158.33333333333334</v>
      </c>
      <c r="P42" s="109">
        <f t="shared" si="4"/>
        <v>158.33333333333334</v>
      </c>
      <c r="Q42" s="105">
        <f t="shared" si="18"/>
        <v>66777.600000000006</v>
      </c>
      <c r="R42" s="105">
        <f t="shared" si="11"/>
        <v>16694.400000000001</v>
      </c>
      <c r="S42" s="109">
        <f t="shared" si="19"/>
        <v>83630.333333333343</v>
      </c>
      <c r="T42" s="29">
        <v>0</v>
      </c>
      <c r="U42" s="105">
        <v>0</v>
      </c>
      <c r="V42" s="109">
        <v>0</v>
      </c>
      <c r="W42" s="105">
        <v>0</v>
      </c>
      <c r="X42" s="29"/>
      <c r="Y42" s="29"/>
      <c r="Z42" s="29"/>
      <c r="AA42" s="105">
        <v>0</v>
      </c>
      <c r="AB42" s="109">
        <f t="shared" si="20"/>
        <v>0</v>
      </c>
      <c r="AC42" s="109">
        <f t="shared" si="21"/>
        <v>158.33333333333334</v>
      </c>
    </row>
    <row r="43" spans="1:29" x14ac:dyDescent="0.25">
      <c r="AC43" s="78">
        <f>SUM(AC8:AC42)</f>
        <v>19155.966882051278</v>
      </c>
    </row>
  </sheetData>
  <mergeCells count="21">
    <mergeCell ref="I6:I7"/>
    <mergeCell ref="A6:A7"/>
    <mergeCell ref="B6:B7"/>
    <mergeCell ref="C6:C7"/>
    <mergeCell ref="D6:D7"/>
    <mergeCell ref="E6:E7"/>
    <mergeCell ref="R6:R7"/>
    <mergeCell ref="T6:T7"/>
    <mergeCell ref="U6:U7"/>
    <mergeCell ref="V6:V7"/>
    <mergeCell ref="W6:W7"/>
    <mergeCell ref="J4:O4"/>
    <mergeCell ref="J6:J7"/>
    <mergeCell ref="O6:O7"/>
    <mergeCell ref="P6:P7"/>
    <mergeCell ref="Q6:Q7"/>
    <mergeCell ref="AB6:AB7"/>
    <mergeCell ref="S6:S7"/>
    <mergeCell ref="U2:U4"/>
    <mergeCell ref="V2:V4"/>
    <mergeCell ref="W2:W4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NOMINA MAYO 2025 MD</vt:lpstr>
      <vt:lpstr>NOMINA JUNIO 2025 MD</vt:lpstr>
      <vt:lpstr>NOMINA FEBRERO 2026 MD</vt:lpstr>
      <vt:lpstr>Hoja1</vt:lpstr>
      <vt:lpstr>Hoja2</vt:lpstr>
      <vt:lpstr>Hoja2!Área_de_impresión</vt:lpstr>
      <vt:lpstr>'NOMINA FEBRERO 2026 MD'!Área_de_impresión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01</dc:creator>
  <cp:lastModifiedBy>Jesus Ruiz</cp:lastModifiedBy>
  <cp:lastPrinted>2026-02-27T20:55:13Z</cp:lastPrinted>
  <dcterms:created xsi:type="dcterms:W3CDTF">2025-06-21T16:12:03Z</dcterms:created>
  <dcterms:modified xsi:type="dcterms:W3CDTF">2026-03-22T03:32:38Z</dcterms:modified>
</cp:coreProperties>
</file>